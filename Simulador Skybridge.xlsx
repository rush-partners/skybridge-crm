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upuesto" sheetId="1" r:id="rId5"/>
    <sheet state="visible" name="Costeo" sheetId="2" r:id="rId6"/>
  </sheets>
  <definedNames/>
  <calcPr/>
</workbook>
</file>

<file path=xl/sharedStrings.xml><?xml version="1.0" encoding="utf-8"?>
<sst xmlns="http://schemas.openxmlformats.org/spreadsheetml/2006/main" count="217" uniqueCount="147">
  <si>
    <t>PRESUPUESTO DE IMPORTACIÓN (PROVISORIO)</t>
  </si>
  <si>
    <t>COSTO POR PRODUCTO</t>
  </si>
  <si>
    <t>Producto</t>
  </si>
  <si>
    <t>Costo FOB</t>
  </si>
  <si>
    <t>Imp+Gas Prorr</t>
  </si>
  <si>
    <t>Costo c/IVA</t>
  </si>
  <si>
    <t>s/IVA y Perc.</t>
  </si>
  <si>
    <t>c/IVA ARS</t>
  </si>
  <si>
    <t>s/IVA y Perc. ARS</t>
  </si>
  <si>
    <t>Nota</t>
  </si>
  <si>
    <t>Cliente:</t>
  </si>
  <si>
    <t>Contenedor:</t>
  </si>
  <si>
    <t>CUIT:</t>
  </si>
  <si>
    <t>ETD / ETA:</t>
  </si>
  <si>
    <t>Detalle pedido:</t>
  </si>
  <si>
    <t>Carrier:</t>
  </si>
  <si>
    <t>Origen / Cond. Venta:</t>
  </si>
  <si>
    <t>Freetime:</t>
  </si>
  <si>
    <t>RESUMEN DE LA OPERACIÓN</t>
  </si>
  <si>
    <t>USD</t>
  </si>
  <si>
    <t>ARS</t>
  </si>
  <si>
    <t>① Mercadería + costo financiero</t>
  </si>
  <si>
    <t>② Tributos VEP (pago a AFIP)</t>
  </si>
  <si>
    <t>③ Gastos operativos + IVA</t>
  </si>
  <si>
    <t>TOTAL DESEMBOLSADO (c/IVA)</t>
  </si>
  <si>
    <t>Costo total s/IVA y percepciones</t>
  </si>
  <si>
    <t>Incidencia s/FOB</t>
  </si>
  <si>
    <t>DETALLE DE MERCADERÍA</t>
  </si>
  <si>
    <t>Descripción</t>
  </si>
  <si>
    <t>NCM</t>
  </si>
  <si>
    <t>FOB Unit.</t>
  </si>
  <si>
    <t>Cant</t>
  </si>
  <si>
    <t>FOB Total</t>
  </si>
  <si>
    <t>FOB Decl.U</t>
  </si>
  <si>
    <t>FOB Decl.T</t>
  </si>
  <si>
    <t>% Partic</t>
  </si>
  <si>
    <t>Peso/Vol</t>
  </si>
  <si>
    <t>TOTAL FOB</t>
  </si>
  <si>
    <t>FOB Pagado:</t>
  </si>
  <si>
    <t>FOB Declarado:</t>
  </si>
  <si>
    <t>Peso Total:</t>
  </si>
  <si>
    <t>Costo financiero</t>
  </si>
  <si>
    <t>Recargo:</t>
  </si>
  <si>
    <t>FOB + Finan:</t>
  </si>
  <si>
    <t>VALOR DECLARADO EN ADUANA</t>
  </si>
  <si>
    <t>TC Tributos:</t>
  </si>
  <si>
    <t>Cotización del despacho</t>
  </si>
  <si>
    <t>FOB declarado</t>
  </si>
  <si>
    <t xml:space="preserve">Flete declarado </t>
  </si>
  <si>
    <t>Seguro declarado</t>
  </si>
  <si>
    <t>CIF DECLARADO</t>
  </si>
  <si>
    <t>DERECHOS, TASAS Y ANTIDUMPING</t>
  </si>
  <si>
    <t>CIF Producto</t>
  </si>
  <si>
    <t>%Der</t>
  </si>
  <si>
    <t>Derechos</t>
  </si>
  <si>
    <t>%Tasa</t>
  </si>
  <si>
    <t>Tasa Est.</t>
  </si>
  <si>
    <t>%Antid</t>
  </si>
  <si>
    <t>Antidump.</t>
  </si>
  <si>
    <t>Subtotal</t>
  </si>
  <si>
    <t>SUBTOTAL DER+TASAS</t>
  </si>
  <si>
    <t>BASE IVA TOTAL</t>
  </si>
  <si>
    <t>IMPUESTOS POR PRODUCTO</t>
  </si>
  <si>
    <t>Base IVA Prod.</t>
  </si>
  <si>
    <t>%IVA</t>
  </si>
  <si>
    <t>IVA</t>
  </si>
  <si>
    <t>%IVA Ad</t>
  </si>
  <si>
    <t>IVA Ad</t>
  </si>
  <si>
    <t>%Gcias</t>
  </si>
  <si>
    <t>Gcias</t>
  </si>
  <si>
    <t>%IIBB</t>
  </si>
  <si>
    <t>IIBB</t>
  </si>
  <si>
    <t>SUBTOTAL IMPUESTOS</t>
  </si>
  <si>
    <t>Arancel SIM</t>
  </si>
  <si>
    <t>TOTAL TRIBUTOS VEP</t>
  </si>
  <si>
    <t>COSTOS OPERATIVOS</t>
  </si>
  <si>
    <t>TC Operativos:</t>
  </si>
  <si>
    <t>TC del día de pago</t>
  </si>
  <si>
    <t>Concepto</t>
  </si>
  <si>
    <t>Moneda</t>
  </si>
  <si>
    <t>Monto (s/IVA)</t>
  </si>
  <si>
    <t>Prorrateo</t>
  </si>
  <si>
    <t>IVA incl.</t>
  </si>
  <si>
    <t>TOTAL</t>
  </si>
  <si>
    <t>Flete</t>
  </si>
  <si>
    <t>PESO</t>
  </si>
  <si>
    <t>NO</t>
  </si>
  <si>
    <t>Seguro</t>
  </si>
  <si>
    <t>CHECK (debe ser $0)</t>
  </si>
  <si>
    <t>FOB</t>
  </si>
  <si>
    <t>Gastos EXW</t>
  </si>
  <si>
    <t>Gastos locales</t>
  </si>
  <si>
    <t>Terminal portuaria</t>
  </si>
  <si>
    <t>Depósito fiscal</t>
  </si>
  <si>
    <t>SIMULACIÓN DE VENTA (USD)</t>
  </si>
  <si>
    <t>Margen %</t>
  </si>
  <si>
    <t>PV Sugerido</t>
  </si>
  <si>
    <t>PV Final</t>
  </si>
  <si>
    <t>PV Mercado</t>
  </si>
  <si>
    <t>Margen Real %</t>
  </si>
  <si>
    <t>Ganancia Unit</t>
  </si>
  <si>
    <t xml:space="preserve">Gastos adicionales </t>
  </si>
  <si>
    <t>Gestiones terceros organismos</t>
  </si>
  <si>
    <t>Traslado interno (en ARS)</t>
  </si>
  <si>
    <t xml:space="preserve">Honorarios despachante </t>
  </si>
  <si>
    <t>Honorarios consultora</t>
  </si>
  <si>
    <t>SUBTOTAL OPERATIVOS</t>
  </si>
  <si>
    <t>Prorrateo operativos</t>
  </si>
  <si>
    <t>Por valor (FOB):</t>
  </si>
  <si>
    <t>Por peso/vol:</t>
  </si>
  <si>
    <t>Total:</t>
  </si>
  <si>
    <t>IVA TERCEROS</t>
  </si>
  <si>
    <t>IVA USD</t>
  </si>
  <si>
    <t>IVA ARS</t>
  </si>
  <si>
    <t>SIMULACIÓN DE VENTA (ARS)</t>
  </si>
  <si>
    <t>TC Venta ARS:</t>
  </si>
  <si>
    <t>SUBTOTAL IVA TERCEROS</t>
  </si>
  <si>
    <t>TOTALES</t>
  </si>
  <si>
    <t>TOTAL c/IVA (desembolso)</t>
  </si>
  <si>
    <t>PERCEPCIONES Y CRÉDITOS FISCALES</t>
  </si>
  <si>
    <t>IVA (crédito fiscal)</t>
  </si>
  <si>
    <t>IVA Adicional</t>
  </si>
  <si>
    <t>TOTAL s/IVA y percepciones</t>
  </si>
  <si>
    <t>IVA Terceros</t>
  </si>
  <si>
    <t>Ganancias (percepción)</t>
  </si>
  <si>
    <t>IIBB (percepción)</t>
  </si>
  <si>
    <t>Total percepciones</t>
  </si>
  <si>
    <t>RESULTADO DE LA OPERACIÓN</t>
  </si>
  <si>
    <t>Inversión total (c/IVA)</t>
  </si>
  <si>
    <t>Venta total estimada</t>
  </si>
  <si>
    <t>Ganancia bruta</t>
  </si>
  <si>
    <t>IVA a recuperar</t>
  </si>
  <si>
    <t>Percepciones a recuperar</t>
  </si>
  <si>
    <t>% Rentabilidad s/inversión</t>
  </si>
  <si>
    <t>CONCILIACIÓN DE PAGOS REALES</t>
  </si>
  <si>
    <t>Monto</t>
  </si>
  <si>
    <t>Fecha</t>
  </si>
  <si>
    <t>Ref/Comprobante</t>
  </si>
  <si>
    <t>Pago proveedor (mercadería)</t>
  </si>
  <si>
    <t>VEP tributos (AFIP)</t>
  </si>
  <si>
    <t>Gastos operativos</t>
  </si>
  <si>
    <t>Intervenciones / Gastos adicionales</t>
  </si>
  <si>
    <t>Otros pagos</t>
  </si>
  <si>
    <t>TOTAL PAGADO REAL</t>
  </si>
  <si>
    <t>Total calculado</t>
  </si>
  <si>
    <t>DIFERENCIA</t>
  </si>
  <si>
    <t>Debe ser $0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</si>
</sst>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USD ]#,##0.00"/>
    <numFmt numFmtId="165" formatCode="[$$ ]#,##0"/>
    <numFmt numFmtId="166" formatCode="0.0%"/>
    <numFmt numFmtId="167" formatCode="#,##0.0000"/>
  </numFmts>
  <fonts count="17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9.0"/>
      <color rgb="FF1B2A4A"/>
      <name val="Calibri"/>
    </font>
    <font>
      <sz val="9.0"/>
      <color rgb="FF4A5568"/>
      <name val="Calibri"/>
    </font>
    <font>
      <sz val="10.0"/>
      <color rgb="FF1B2A4A"/>
      <name val="Calibri"/>
    </font>
    <font/>
    <font>
      <sz val="9.0"/>
      <color rgb="FF1B2A4A"/>
      <name val="Calibri"/>
    </font>
    <font>
      <b/>
      <sz val="10.0"/>
      <color rgb="FF1B2A4A"/>
      <name val="Calibri"/>
    </font>
    <font>
      <b/>
      <sz val="10.0"/>
      <color rgb="FFFFFFFF"/>
      <name val="Calibri"/>
    </font>
    <font>
      <sz val="10.0"/>
      <color rgb="FFCC0000"/>
      <name val="Calibri"/>
    </font>
    <font>
      <b/>
      <sz val="9.0"/>
      <color rgb="FFFFFFFF"/>
      <name val="Calibri"/>
    </font>
    <font>
      <sz val="8.0"/>
      <color rgb="FF4A5568"/>
      <name val="Calibri"/>
    </font>
    <font>
      <sz val="10.0"/>
      <color theme="1"/>
      <name val="Calibri"/>
    </font>
    <font>
      <sz val="9.0"/>
      <color rgb="FF808080"/>
      <name val="Calibri"/>
    </font>
    <font>
      <sz val="9.0"/>
      <color rgb="FFFFFFFF"/>
      <name val="Calibri"/>
    </font>
    <font>
      <b/>
      <sz val="10.0"/>
      <color rgb="FFCC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4A90D9"/>
        <bgColor rgb="FF4A90D9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C6EFCE"/>
        <bgColor rgb="FFC6EFCE"/>
      </patternFill>
    </fill>
    <fill>
      <patternFill patternType="solid">
        <fgColor rgb="FFD6E4F0"/>
        <bgColor rgb="FFD6E4F0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  <bottom/>
    </border>
    <border>
      <left style="thin">
        <color rgb="FFB0B0B0"/>
      </left>
      <right/>
      <top style="thin">
        <color rgb="FFB0B0B0"/>
      </top>
      <bottom style="thin">
        <color rgb="FFB0B0B0"/>
      </bottom>
    </border>
    <border>
      <left style="thin">
        <color rgb="FFCCCCCC"/>
      </left>
      <right/>
      <top style="thin">
        <color rgb="FFCCCCCC"/>
      </top>
      <bottom style="thin">
        <color rgb="FFCCCCCC"/>
      </bottom>
    </border>
    <border>
      <left style="thin">
        <color rgb="FF999999"/>
      </left>
      <right/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0"/>
    </xf>
    <xf borderId="2" fillId="3" fontId="1" numFmtId="0" xfId="0" applyAlignment="1" applyBorder="1" applyFill="1" applyFont="1">
      <alignment horizontal="left" shrinkToFit="0" vertical="center" wrapText="0"/>
    </xf>
    <xf borderId="1" fillId="2" fontId="1" numFmtId="0" xfId="0" applyAlignment="1" applyBorder="1" applyFill="1" applyFont="1">
      <alignment horizontal="right" shrinkToFit="0" vertical="center" wrapText="0"/>
    </xf>
    <xf borderId="2" fillId="3" fontId="2" numFmtId="0" xfId="0" applyAlignment="1" applyBorder="1" applyFill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2" fillId="4" fontId="3" numFmtId="0" xfId="0" applyAlignment="1" applyBorder="1" applyFill="1" applyFont="1">
      <alignment horizontal="center" shrinkToFit="0" vertical="center" wrapText="0"/>
    </xf>
    <xf borderId="1" fillId="0" fontId="4" numFmtId="0" xfId="0" applyAlignment="1" applyBorder="1" applyFont="1">
      <alignment horizontal="left" shrinkToFit="0" vertical="center" wrapText="0"/>
    </xf>
    <xf borderId="3" fillId="5" fontId="5" numFmtId="0" xfId="0" applyAlignment="1" applyBorder="1" applyFill="1" applyFont="1">
      <alignment horizontal="left" shrinkToFit="0" vertical="center" wrapText="0"/>
    </xf>
    <xf borderId="4" fillId="0" fontId="6" numFmtId="0" xfId="0" applyBorder="1" applyFont="1"/>
    <xf borderId="5" fillId="0" fontId="6" numFmtId="0" xfId="0" applyBorder="1" applyFont="1"/>
    <xf borderId="2" fillId="0" fontId="7" numFmtId="0" xfId="0" applyAlignment="1" applyBorder="1" applyFont="1">
      <alignment horizontal="left" shrinkToFit="0" vertical="center" wrapText="0"/>
    </xf>
    <xf borderId="2" fillId="0" fontId="5" numFmtId="164" xfId="0" applyAlignment="1" applyBorder="1" applyFont="1" applyNumberFormat="1">
      <alignment horizontal="right" shrinkToFit="0" vertical="center" wrapText="0"/>
    </xf>
    <xf borderId="1" fillId="4" fontId="3" numFmtId="0" xfId="0" applyAlignment="1" applyBorder="1" applyFill="1" applyFont="1">
      <alignment horizontal="left" shrinkToFit="0" vertical="center" wrapText="0"/>
    </xf>
    <xf borderId="1" fillId="4" fontId="3" numFmtId="0" xfId="0" applyAlignment="1" applyBorder="1" applyFill="1" applyFont="1">
      <alignment horizontal="right" shrinkToFit="0" vertical="center" wrapText="0"/>
    </xf>
    <xf borderId="2" fillId="0" fontId="5" numFmtId="0" xfId="0" applyAlignment="1" applyBorder="1" applyFont="1">
      <alignment horizontal="left" shrinkToFit="0" vertical="center" wrapText="0"/>
    </xf>
    <xf borderId="2" fillId="0" fontId="5" numFmtId="165" xfId="0" applyAlignment="1" applyBorder="1" applyFont="1" applyNumberFormat="1">
      <alignment horizontal="right" shrinkToFit="0" vertical="center" wrapText="0"/>
    </xf>
    <xf borderId="2" fillId="6" fontId="8" numFmtId="164" xfId="0" applyAlignment="1" applyBorder="1" applyFill="1" applyFont="1" applyNumberFormat="1">
      <alignment horizontal="right" shrinkToFit="0" vertical="center" wrapText="0"/>
    </xf>
    <xf borderId="2" fillId="7" fontId="5" numFmtId="0" xfId="0" applyAlignment="1" applyBorder="1" applyFill="1" applyFont="1">
      <alignment horizontal="left" shrinkToFit="0" vertical="center" wrapText="0"/>
    </xf>
    <xf borderId="2" fillId="7" fontId="5" numFmtId="164" xfId="0" applyAlignment="1" applyBorder="1" applyFill="1" applyFont="1" applyNumberFormat="1">
      <alignment horizontal="right" shrinkToFit="0" vertical="center" wrapText="0"/>
    </xf>
    <xf borderId="2" fillId="7" fontId="5" numFmtId="165" xfId="0" applyAlignment="1" applyBorder="1" applyFill="1" applyFont="1" applyNumberFormat="1">
      <alignment horizontal="right" shrinkToFit="0" vertical="center" wrapText="0"/>
    </xf>
    <xf borderId="2" fillId="6" fontId="8" numFmtId="165" xfId="0" applyAlignment="1" applyBorder="1" applyFill="1" applyFont="1" applyNumberFormat="1">
      <alignment horizontal="right" shrinkToFit="0" vertical="center" wrapText="0"/>
    </xf>
    <xf borderId="2" fillId="2" fontId="9" numFmtId="0" xfId="0" applyAlignment="1" applyBorder="1" applyFill="1" applyFont="1">
      <alignment horizontal="left" shrinkToFit="0" vertical="center" wrapText="0"/>
    </xf>
    <xf borderId="2" fillId="2" fontId="9" numFmtId="164" xfId="0" applyAlignment="1" applyBorder="1" applyFill="1" applyFont="1" applyNumberFormat="1">
      <alignment horizontal="right" shrinkToFit="0" vertical="center" wrapText="0"/>
    </xf>
    <xf borderId="2" fillId="5" fontId="7" numFmtId="0" xfId="0" applyAlignment="1" applyBorder="1" applyFill="1" applyFont="1">
      <alignment horizontal="left" shrinkToFit="0" vertical="center" wrapText="0"/>
    </xf>
    <xf borderId="2" fillId="2" fontId="9" numFmtId="165" xfId="0" applyAlignment="1" applyBorder="1" applyFill="1" applyFont="1" applyNumberFormat="1">
      <alignment horizontal="right" shrinkToFit="0" vertical="center" wrapText="0"/>
    </xf>
    <xf borderId="0" fillId="0" fontId="10" numFmtId="0" xfId="0" applyAlignment="1" applyFont="1">
      <alignment shrinkToFit="0" vertical="bottom" wrapText="0"/>
    </xf>
    <xf borderId="2" fillId="0" fontId="10" numFmtId="166" xfId="0" applyAlignment="1" applyBorder="1" applyFont="1" applyNumberFormat="1">
      <alignment horizontal="right" shrinkToFit="0" vertical="bottom" wrapText="0"/>
    </xf>
    <xf borderId="0" fillId="0" fontId="10" numFmtId="166" xfId="0" applyAlignment="1" applyFont="1" applyNumberFormat="1">
      <alignment horizontal="right" shrinkToFit="0" vertical="bottom" wrapText="0"/>
    </xf>
    <xf borderId="1" fillId="5" fontId="7" numFmtId="0" xfId="0" applyAlignment="1" applyBorder="1" applyFill="1" applyFont="1">
      <alignment horizontal="left" readingOrder="0" shrinkToFit="0" vertical="center" wrapText="0"/>
    </xf>
    <xf borderId="1" fillId="5" fontId="5" numFmtId="0" xfId="0" applyAlignment="1" applyBorder="1" applyFill="1" applyFont="1">
      <alignment horizontal="right" readingOrder="0" shrinkToFit="0" vertical="center" wrapText="0"/>
    </xf>
    <xf borderId="1" fillId="5" fontId="5" numFmtId="164" xfId="0" applyAlignment="1" applyBorder="1" applyFill="1" applyFont="1" applyNumberFormat="1">
      <alignment horizontal="right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right" shrinkToFit="0" vertical="center" wrapText="0"/>
    </xf>
    <xf borderId="1" fillId="0" fontId="5" numFmtId="166" xfId="0" applyAlignment="1" applyBorder="1" applyFont="1" applyNumberFormat="1">
      <alignment horizontal="right" shrinkToFit="0" vertical="center" wrapText="0"/>
    </xf>
    <xf borderId="1" fillId="5" fontId="5" numFmtId="0" xfId="0" applyAlignment="1" applyBorder="1" applyFill="1" applyFont="1">
      <alignment horizontal="right" shrinkToFit="0" vertical="center" wrapText="0"/>
    </xf>
    <xf borderId="1" fillId="5" fontId="7" numFmtId="0" xfId="0" applyAlignment="1" applyBorder="1" applyFill="1" applyFont="1">
      <alignment horizontal="left" shrinkToFit="0" vertical="center" wrapText="0"/>
    </xf>
    <xf borderId="1" fillId="5" fontId="5" numFmtId="164" xfId="0" applyAlignment="1" applyBorder="1" applyFill="1" applyFont="1" applyNumberFormat="1">
      <alignment horizontal="right" shrinkToFit="0" vertical="center" wrapText="0"/>
    </xf>
    <xf borderId="1" fillId="5" fontId="5" numFmtId="0" xfId="0" applyAlignment="1" applyBorder="1" applyFill="1" applyFont="1">
      <alignment horizontal="center" shrinkToFit="0" vertical="center" wrapText="0"/>
    </xf>
    <xf borderId="1" fillId="7" fontId="8" numFmtId="0" xfId="0" applyAlignment="1" applyBorder="1" applyFill="1" applyFont="1">
      <alignment horizontal="left" shrinkToFit="0" vertical="center" wrapText="0"/>
    </xf>
    <xf borderId="1" fillId="7" fontId="8" numFmtId="0" xfId="0" applyAlignment="1" applyBorder="1" applyFill="1" applyFont="1">
      <alignment shrinkToFit="0" vertical="bottom" wrapText="0"/>
    </xf>
    <xf borderId="1" fillId="7" fontId="3" numFmtId="0" xfId="0" applyAlignment="1" applyBorder="1" applyFill="1" applyFont="1">
      <alignment horizontal="right" shrinkToFit="0" vertical="bottom" wrapText="0"/>
    </xf>
    <xf borderId="1" fillId="7" fontId="8" numFmtId="164" xfId="0" applyAlignment="1" applyBorder="1" applyFill="1" applyFont="1" applyNumberFormat="1">
      <alignment horizontal="right" shrinkToFit="0" vertical="center" wrapText="0"/>
    </xf>
    <xf borderId="1" fillId="7" fontId="8" numFmtId="0" xfId="0" applyAlignment="1" applyBorder="1" applyFill="1" applyFont="1">
      <alignment horizontal="right" shrinkToFit="0" vertical="center" wrapText="0"/>
    </xf>
    <xf borderId="2" fillId="2" fontId="11" numFmtId="0" xfId="0" applyAlignment="1" applyBorder="1" applyFill="1" applyFont="1">
      <alignment horizontal="left" shrinkToFit="0" vertical="center" wrapText="0"/>
    </xf>
    <xf borderId="2" fillId="2" fontId="11" numFmtId="166" xfId="0" applyAlignment="1" applyBorder="1" applyFill="1" applyFont="1" applyNumberFormat="1">
      <alignment horizontal="right" readingOrder="0" shrinkToFit="0" vertical="bottom" wrapText="0"/>
    </xf>
    <xf borderId="2" fillId="2" fontId="11" numFmtId="0" xfId="0" applyAlignment="1" applyBorder="1" applyFill="1" applyFont="1">
      <alignment horizontal="right" shrinkToFit="0" vertical="center" wrapText="0"/>
    </xf>
    <xf borderId="2" fillId="2" fontId="11" numFmtId="164" xfId="0" applyAlignment="1" applyBorder="1" applyFill="1" applyFont="1" applyNumberFormat="1">
      <alignment horizontal="right" shrinkToFit="0" vertical="bottom" wrapText="0"/>
    </xf>
    <xf borderId="6" fillId="8" fontId="8" numFmtId="0" xfId="0" applyAlignment="1" applyBorder="1" applyFill="1" applyFont="1">
      <alignment horizontal="left" shrinkToFit="0" vertical="center" wrapText="0"/>
    </xf>
    <xf borderId="6" fillId="8" fontId="8" numFmtId="0" xfId="0" applyAlignment="1" applyBorder="1" applyFill="1" applyFont="1">
      <alignment horizontal="right" shrinkToFit="0" vertical="center" wrapText="0"/>
    </xf>
    <xf borderId="6" fillId="8" fontId="8" numFmtId="166" xfId="0" applyAlignment="1" applyBorder="1" applyFill="1" applyFont="1" applyNumberFormat="1">
      <alignment horizontal="right" shrinkToFit="0" vertical="bottom" wrapText="0"/>
    </xf>
    <xf borderId="2" fillId="8" fontId="3" numFmtId="0" xfId="0" applyAlignment="1" applyBorder="1" applyFill="1" applyFont="1">
      <alignment horizontal="right" shrinkToFit="0" vertical="center" wrapText="0"/>
    </xf>
    <xf borderId="2" fillId="8" fontId="8" numFmtId="164" xfId="0" applyAlignment="1" applyBorder="1" applyFill="1" applyFont="1" applyNumberFormat="1">
      <alignment horizontal="right" shrinkToFit="0" vertical="bottom" wrapText="0"/>
    </xf>
    <xf borderId="2" fillId="8" fontId="8" numFmtId="0" xfId="0" applyAlignment="1" applyBorder="1" applyFill="1" applyFont="1">
      <alignment horizontal="right" shrinkToFit="0" vertical="center" wrapText="0"/>
    </xf>
    <xf borderId="6" fillId="8" fontId="2" numFmtId="0" xfId="0" applyAlignment="1" applyBorder="1" applyFill="1" applyFont="1">
      <alignment shrinkToFit="0" vertical="bottom" wrapText="0"/>
    </xf>
    <xf borderId="1" fillId="3" fontId="1" numFmtId="0" xfId="0" applyAlignment="1" applyBorder="1" applyFill="1" applyFont="1">
      <alignment horizontal="left" shrinkToFit="0" vertical="center" wrapText="0"/>
    </xf>
    <xf borderId="1" fillId="3" fontId="2" numFmtId="0" xfId="0" applyAlignment="1" applyBorder="1" applyFill="1" applyFont="1">
      <alignment shrinkToFit="0" vertical="bottom" wrapText="0"/>
    </xf>
    <xf borderId="1" fillId="0" fontId="8" numFmtId="0" xfId="0" applyAlignment="1" applyBorder="1" applyFont="1">
      <alignment horizontal="left" shrinkToFit="0" vertical="center" wrapText="0"/>
    </xf>
    <xf borderId="1" fillId="5" fontId="5" numFmtId="167" xfId="0" applyAlignment="1" applyBorder="1" applyFill="1" applyFont="1" applyNumberFormat="1">
      <alignment horizontal="right" readingOrder="0" shrinkToFit="0" vertical="center" wrapText="0"/>
    </xf>
    <xf borderId="1" fillId="0" fontId="5" numFmtId="0" xfId="0" applyAlignment="1" applyBorder="1" applyFont="1">
      <alignment horizontal="left" shrinkToFit="0" vertical="center" wrapText="0"/>
    </xf>
    <xf borderId="1" fillId="0" fontId="5" numFmtId="165" xfId="0" applyAlignment="1" applyBorder="1" applyFont="1" applyNumberFormat="1">
      <alignment horizontal="right" shrinkToFit="0" vertical="center" wrapText="0"/>
    </xf>
    <xf borderId="1" fillId="7" fontId="8" numFmtId="165" xfId="0" applyAlignment="1" applyBorder="1" applyFill="1" applyFont="1" applyNumberFormat="1">
      <alignment horizontal="right" shrinkToFit="0" vertical="center" wrapText="0"/>
    </xf>
    <xf borderId="1" fillId="0" fontId="7" numFmtId="0" xfId="0" applyAlignment="1" applyBorder="1" applyFont="1">
      <alignment horizontal="left" shrinkToFit="0" vertical="center" wrapText="0"/>
    </xf>
    <xf borderId="1" fillId="5" fontId="5" numFmtId="166" xfId="0" applyAlignment="1" applyBorder="1" applyFill="1" applyFont="1" applyNumberFormat="1">
      <alignment horizontal="right" shrinkToFit="0" vertical="center" wrapText="0"/>
    </xf>
    <xf borderId="1" fillId="5" fontId="5" numFmtId="166" xfId="0" applyAlignment="1" applyBorder="1" applyFill="1" applyFont="1" applyNumberFormat="1">
      <alignment horizontal="right" readingOrder="0" shrinkToFit="0" vertical="center" wrapText="0"/>
    </xf>
    <xf borderId="1" fillId="2" fontId="9" numFmtId="0" xfId="0" applyAlignment="1" applyBorder="1" applyFill="1" applyFont="1">
      <alignment horizontal="left" shrinkToFit="0" vertical="center" wrapText="0"/>
    </xf>
    <xf borderId="1" fillId="2" fontId="9" numFmtId="164" xfId="0" applyAlignment="1" applyBorder="1" applyFill="1" applyFont="1" applyNumberFormat="1">
      <alignment horizontal="right" shrinkToFit="0" vertical="center" wrapText="0"/>
    </xf>
    <xf borderId="1" fillId="2" fontId="9" numFmtId="165" xfId="0" applyAlignment="1" applyBorder="1" applyFill="1" applyFont="1" applyNumberFormat="1">
      <alignment horizontal="right" shrinkToFit="0" vertical="center" wrapText="0"/>
    </xf>
    <xf borderId="1" fillId="2" fontId="9" numFmtId="0" xfId="0" applyAlignment="1" applyBorder="1" applyFill="1" applyFont="1">
      <alignment shrinkToFit="0" vertical="bottom" wrapText="0"/>
    </xf>
    <xf borderId="1" fillId="5" fontId="5" numFmtId="166" xfId="0" applyAlignment="1" applyBorder="1" applyFill="1" applyFont="1" applyNumberFormat="1">
      <alignment horizontal="right" readingOrder="0" shrinkToFit="0" vertical="bottom" wrapText="0"/>
    </xf>
    <xf borderId="1" fillId="0" fontId="5" numFmtId="164" xfId="0" applyAlignment="1" applyBorder="1" applyFont="1" applyNumberFormat="1">
      <alignment horizontal="right" shrinkToFit="0" vertical="bottom" wrapText="0"/>
    </xf>
    <xf borderId="1" fillId="7" fontId="8" numFmtId="164" xfId="0" applyAlignment="1" applyBorder="1" applyFill="1" applyFont="1" applyNumberFormat="1">
      <alignment horizontal="right" shrinkToFit="0" vertical="bottom" wrapText="0"/>
    </xf>
    <xf borderId="1" fillId="0" fontId="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horizontal="left" shrinkToFit="0" vertical="center" wrapText="0"/>
    </xf>
    <xf borderId="0" fillId="0" fontId="13" numFmtId="0" xfId="0" applyAlignment="1" applyFont="1">
      <alignment horizontal="left" shrinkToFit="0" vertical="center" wrapText="0"/>
    </xf>
    <xf borderId="0" fillId="0" fontId="13" numFmtId="164" xfId="0" applyAlignment="1" applyFont="1" applyNumberFormat="1">
      <alignment horizontal="right" shrinkToFit="0" vertical="center" wrapText="0"/>
    </xf>
    <xf borderId="0" fillId="0" fontId="13" numFmtId="165" xfId="0" applyAlignment="1" applyFont="1" applyNumberFormat="1">
      <alignment horizontal="right" shrinkToFit="0" vertical="center" wrapText="0"/>
    </xf>
    <xf borderId="0" fillId="0" fontId="13" numFmtId="0" xfId="0" applyAlignment="1" applyFont="1">
      <alignment shrinkToFit="0" vertical="bottom" wrapText="0"/>
    </xf>
    <xf borderId="1" fillId="5" fontId="8" numFmtId="3" xfId="0" applyAlignment="1" applyBorder="1" applyFill="1" applyFont="1" applyNumberFormat="1">
      <alignment horizontal="right" readingOrder="0" shrinkToFit="0" vertical="center" wrapText="0"/>
    </xf>
    <xf borderId="1" fillId="0" fontId="8" numFmtId="0" xfId="0" applyAlignment="1" applyBorder="1" applyFont="1">
      <alignment horizontal="right" shrinkToFit="0" vertical="center" wrapText="0"/>
    </xf>
    <xf borderId="2" fillId="7" fontId="8" numFmtId="0" xfId="0" applyAlignment="1" applyBorder="1" applyFill="1" applyFont="1">
      <alignment horizontal="left" shrinkToFit="0" vertical="center" wrapText="0"/>
    </xf>
    <xf borderId="1" fillId="8" fontId="5" numFmtId="0" xfId="0" applyAlignment="1" applyBorder="1" applyFill="1" applyFont="1">
      <alignment horizontal="left" shrinkToFit="0" vertical="center" wrapText="0"/>
    </xf>
    <xf borderId="1" fillId="8" fontId="7" numFmtId="0" xfId="0" applyAlignment="1" applyBorder="1" applyFill="1" applyFont="1">
      <alignment horizontal="center" shrinkToFit="0" vertical="center" wrapText="0"/>
    </xf>
    <xf borderId="1" fillId="5" fontId="5" numFmtId="4" xfId="0" applyAlignment="1" applyBorder="1" applyFill="1" applyFont="1" applyNumberFormat="1">
      <alignment horizontal="right" readingOrder="0" shrinkToFit="0" vertical="center" wrapText="0"/>
    </xf>
    <xf borderId="2" fillId="7" fontId="2" numFmtId="0" xfId="0" applyAlignment="1" applyBorder="1" applyFill="1" applyFont="1">
      <alignment shrinkToFit="0" vertical="bottom" wrapText="0"/>
    </xf>
    <xf borderId="1" fillId="8" fontId="5" numFmtId="164" xfId="0" applyAlignment="1" applyBorder="1" applyFill="1" applyFont="1" applyNumberFormat="1">
      <alignment horizontal="right" shrinkToFit="0" vertical="center" wrapText="0"/>
    </xf>
    <xf borderId="1" fillId="8" fontId="5" numFmtId="165" xfId="0" applyAlignment="1" applyBorder="1" applyFill="1" applyFont="1" applyNumberFormat="1">
      <alignment horizontal="right" shrinkToFit="0" vertical="center" wrapText="0"/>
    </xf>
    <xf borderId="1" fillId="5" fontId="7" numFmtId="0" xfId="0" applyAlignment="1" applyBorder="1" applyFill="1" applyFont="1">
      <alignment horizontal="center" shrinkToFit="0" vertical="center" wrapText="0"/>
    </xf>
    <xf borderId="2" fillId="5" fontId="2" numFmtId="0" xfId="0" applyAlignment="1" applyBorder="1" applyFill="1" applyFont="1">
      <alignment horizontal="center" shrinkToFit="0" vertical="bottom" wrapText="0"/>
    </xf>
    <xf borderId="2" fillId="7" fontId="8" numFmtId="164" xfId="0" applyAlignment="1" applyBorder="1" applyFill="1" applyFont="1" applyNumberFormat="1">
      <alignment horizontal="right" shrinkToFit="0" vertical="center" wrapText="0"/>
    </xf>
    <xf borderId="2" fillId="0" fontId="14" numFmtId="0" xfId="0" applyAlignment="1" applyBorder="1" applyFont="1">
      <alignment horizontal="left" shrinkToFit="0" vertical="center" wrapText="0"/>
    </xf>
    <xf borderId="1" fillId="5" fontId="7" numFmtId="0" xfId="0" applyAlignment="1" applyBorder="1" applyFill="1" applyFont="1">
      <alignment horizontal="center" readingOrder="0" shrinkToFit="0" vertical="center" wrapText="0"/>
    </xf>
    <xf borderId="1" fillId="5" fontId="5" numFmtId="4" xfId="0" applyAlignment="1" applyBorder="1" applyFill="1" applyFont="1" applyNumberFormat="1">
      <alignment horizontal="right" shrinkToFit="0" vertical="center" wrapText="0"/>
    </xf>
    <xf borderId="2" fillId="0" fontId="14" numFmtId="164" xfId="0" applyAlignment="1" applyBorder="1" applyFont="1" applyNumberFormat="1">
      <alignment horizontal="right" shrinkToFit="0" vertical="center" wrapText="0"/>
    </xf>
    <xf borderId="1" fillId="8" fontId="5" numFmtId="0" xfId="0" applyAlignment="1" applyBorder="1" applyFill="1" applyFont="1">
      <alignment horizontal="left" readingOrder="0" shrinkToFit="0" vertical="center" wrapText="0"/>
    </xf>
    <xf borderId="2" fillId="5" fontId="5" numFmtId="166" xfId="0" applyAlignment="1" applyBorder="1" applyFill="1" applyFont="1" applyNumberFormat="1">
      <alignment horizontal="right" shrinkToFit="0" vertical="center" wrapText="0"/>
    </xf>
    <xf borderId="2" fillId="5" fontId="5" numFmtId="164" xfId="0" applyAlignment="1" applyBorder="1" applyFill="1" applyFont="1" applyNumberFormat="1">
      <alignment horizontal="right" shrinkToFit="0" vertical="center" wrapText="0"/>
    </xf>
    <xf borderId="2" fillId="0" fontId="5" numFmtId="166" xfId="0" applyAlignment="1" applyBorder="1" applyFont="1" applyNumberFormat="1">
      <alignment horizontal="right" shrinkToFit="0" vertical="center" wrapText="0"/>
    </xf>
    <xf borderId="6" fillId="4" fontId="13" numFmtId="164" xfId="0" applyAlignment="1" applyBorder="1" applyFill="1" applyFont="1" applyNumberFormat="1">
      <alignment horizontal="right" shrinkToFit="0" vertical="center" wrapText="0"/>
    </xf>
    <xf borderId="2" fillId="2" fontId="11" numFmtId="0" xfId="0" applyAlignment="1" applyBorder="1" applyFill="1" applyFont="1">
      <alignment shrinkToFit="0" vertical="bottom" wrapText="0"/>
    </xf>
    <xf borderId="2" fillId="2" fontId="15" numFmtId="0" xfId="0" applyAlignment="1" applyBorder="1" applyFill="1" applyFont="1">
      <alignment horizontal="right" shrinkToFit="0" vertical="bottom" wrapText="0"/>
    </xf>
    <xf borderId="6" fillId="8" fontId="3" numFmtId="0" xfId="0" applyAlignment="1" applyBorder="1" applyFill="1" applyFont="1">
      <alignment shrinkToFit="0" vertical="bottom" wrapText="0"/>
    </xf>
    <xf borderId="6" fillId="8" fontId="7" numFmtId="0" xfId="0" applyAlignment="1" applyBorder="1" applyFill="1" applyFont="1">
      <alignment horizontal="right" shrinkToFit="0" vertical="bottom" wrapText="0"/>
    </xf>
    <xf borderId="6" fillId="8" fontId="3" numFmtId="164" xfId="0" applyAlignment="1" applyBorder="1" applyFill="1" applyFont="1" applyNumberFormat="1">
      <alignment horizontal="right" shrinkToFit="0" vertical="bottom" wrapText="0"/>
    </xf>
    <xf borderId="2" fillId="0" fontId="8" numFmtId="0" xfId="0" applyAlignment="1" applyBorder="1" applyFont="1">
      <alignment horizontal="left" shrinkToFit="0" vertical="center" wrapText="0"/>
    </xf>
    <xf borderId="1" fillId="8" fontId="7" numFmtId="0" xfId="0" applyAlignment="1" applyBorder="1" applyFill="1" applyFont="1">
      <alignment horizontal="left" shrinkToFit="0" vertical="center" wrapText="0"/>
    </xf>
    <xf borderId="2" fillId="5" fontId="5" numFmtId="167" xfId="0" applyAlignment="1" applyBorder="1" applyFill="1" applyFont="1" applyNumberFormat="1">
      <alignment horizontal="right" shrinkToFit="0" vertical="center" wrapText="0"/>
    </xf>
    <xf borderId="7" fillId="8" fontId="5" numFmtId="165" xfId="0" applyAlignment="1" applyBorder="1" applyFill="1" applyFont="1" applyNumberFormat="1">
      <alignment horizontal="right" shrinkToFit="0" vertical="center" wrapText="0"/>
    </xf>
    <xf borderId="7" fillId="7" fontId="8" numFmtId="165" xfId="0" applyAlignment="1" applyBorder="1" applyFill="1" applyFont="1" applyNumberFormat="1">
      <alignment horizontal="right" shrinkToFit="0" vertical="center" wrapText="0"/>
    </xf>
    <xf borderId="6" fillId="8" fontId="8" numFmtId="0" xfId="0" applyAlignment="1" applyBorder="1" applyFill="1" applyFont="1">
      <alignment shrinkToFit="0" vertical="bottom" wrapText="0"/>
    </xf>
    <xf borderId="2" fillId="2" fontId="1" numFmtId="0" xfId="0" applyAlignment="1" applyBorder="1" applyFill="1" applyFont="1">
      <alignment horizontal="right" shrinkToFit="0" vertical="center" wrapText="0"/>
    </xf>
    <xf borderId="8" fillId="2" fontId="2" numFmtId="0" xfId="0" applyAlignment="1" applyBorder="1" applyFill="1" applyFont="1">
      <alignment shrinkToFit="0" vertical="bottom" wrapText="0"/>
    </xf>
    <xf borderId="2" fillId="4" fontId="8" numFmtId="0" xfId="0" applyAlignment="1" applyBorder="1" applyFill="1" applyFont="1">
      <alignment horizontal="center" shrinkToFit="0" vertical="center" wrapText="0"/>
    </xf>
    <xf borderId="9" fillId="2" fontId="1" numFmtId="0" xfId="0" applyAlignment="1" applyBorder="1" applyFill="1" applyFont="1">
      <alignment shrinkToFit="0" vertical="bottom" wrapText="0"/>
    </xf>
    <xf borderId="6" fillId="8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1" fillId="0" fontId="8" numFmtId="164" xfId="0" applyAlignment="1" applyBorder="1" applyFont="1" applyNumberFormat="1">
      <alignment horizontal="right" shrinkToFit="0" vertical="center" wrapText="0"/>
    </xf>
    <xf borderId="1" fillId="0" fontId="8" numFmtId="165" xfId="0" applyAlignment="1" applyBorder="1" applyFont="1" applyNumberFormat="1">
      <alignment horizontal="right" shrinkToFit="0" vertical="center" wrapText="0"/>
    </xf>
    <xf borderId="9" fillId="8" fontId="1" numFmtId="0" xfId="0" applyAlignment="1" applyBorder="1" applyFill="1" applyFont="1">
      <alignment shrinkToFit="0" vertical="bottom" wrapText="0"/>
    </xf>
    <xf borderId="0" fillId="0" fontId="13" numFmtId="0" xfId="0" applyAlignment="1" applyFont="1">
      <alignment horizontal="right" shrinkToFit="0" vertical="center" wrapText="0"/>
    </xf>
    <xf borderId="2" fillId="7" fontId="8" numFmtId="165" xfId="0" applyAlignment="1" applyBorder="1" applyFill="1" applyFont="1" applyNumberFormat="1">
      <alignment horizontal="right" shrinkToFit="0" vertical="center" wrapText="0"/>
    </xf>
    <xf borderId="0" fillId="0" fontId="13" numFmtId="0" xfId="0" applyAlignment="1" applyFont="1">
      <alignment horizontal="center" shrinkToFit="0" vertical="center" wrapText="0"/>
    </xf>
    <xf borderId="2" fillId="2" fontId="9" numFmtId="166" xfId="0" applyAlignment="1" applyBorder="1" applyFill="1" applyFont="1" applyNumberFormat="1">
      <alignment horizontal="right" shrinkToFit="0" vertical="center" wrapText="0"/>
    </xf>
    <xf borderId="2" fillId="5" fontId="5" numFmtId="4" xfId="0" applyAlignment="1" applyBorder="1" applyFill="1" applyFont="1" applyNumberFormat="1">
      <alignment horizontal="right" shrinkToFit="0" vertical="center" wrapText="0"/>
    </xf>
    <xf borderId="2" fillId="5" fontId="7" numFmtId="0" xfId="0" applyAlignment="1" applyBorder="1" applyFill="1" applyFont="1">
      <alignment horizontal="center" shrinkToFit="0" vertical="center" wrapText="0"/>
    </xf>
    <xf borderId="2" fillId="0" fontId="16" numFmtId="0" xfId="0" applyAlignment="1" applyBorder="1" applyFont="1">
      <alignment horizontal="left" shrinkToFit="0" vertical="center" wrapText="0"/>
    </xf>
    <xf borderId="2" fillId="0" fontId="16" numFmtId="164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2.29"/>
    <col customWidth="1" min="2" max="2" width="17.0"/>
    <col customWidth="1" min="3" max="3" width="17.86"/>
    <col customWidth="1" min="4" max="4" width="13.0"/>
    <col customWidth="1" min="5" max="5" width="14.43"/>
    <col customWidth="1" min="6" max="11" width="13.0"/>
  </cols>
  <sheetData>
    <row r="1" ht="15.0" customHeight="1">
      <c r="A1" s="1" t="s">
        <v>0</v>
      </c>
      <c r="B1" s="3"/>
      <c r="C1" s="3"/>
      <c r="D1" s="3"/>
      <c r="E1" s="3"/>
      <c r="F1" s="3"/>
      <c r="G1" s="3"/>
      <c r="H1" s="3"/>
      <c r="I1" s="3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7" t="s">
        <v>10</v>
      </c>
      <c r="B2" s="8"/>
      <c r="C2" s="9"/>
      <c r="D2" s="9"/>
      <c r="E2" s="10"/>
      <c r="F2" s="7" t="s">
        <v>11</v>
      </c>
      <c r="G2" s="8"/>
      <c r="H2" s="9"/>
      <c r="I2" s="10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5.0" customHeight="1">
      <c r="A3" s="7" t="s">
        <v>12</v>
      </c>
      <c r="B3" s="8"/>
      <c r="C3" s="9"/>
      <c r="D3" s="9"/>
      <c r="E3" s="10"/>
      <c r="F3" s="7" t="s">
        <v>13</v>
      </c>
      <c r="G3" s="8"/>
      <c r="H3" s="9"/>
      <c r="I3" s="10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5.0" customHeight="1">
      <c r="A4" s="7" t="s">
        <v>14</v>
      </c>
      <c r="B4" s="8"/>
      <c r="C4" s="9"/>
      <c r="D4" s="9"/>
      <c r="E4" s="10"/>
      <c r="F4" s="7" t="s">
        <v>15</v>
      </c>
      <c r="G4" s="8"/>
      <c r="H4" s="9"/>
      <c r="I4" s="10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5.0" customHeight="1">
      <c r="A5" s="7" t="s">
        <v>16</v>
      </c>
      <c r="B5" s="8"/>
      <c r="C5" s="9"/>
      <c r="D5" s="9"/>
      <c r="E5" s="10"/>
      <c r="F5" s="7" t="s">
        <v>17</v>
      </c>
      <c r="G5" s="8"/>
      <c r="H5" s="9"/>
      <c r="I5" s="10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t="15.0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t="15.0" customHeight="1">
      <c r="A7" s="1" t="s">
        <v>18</v>
      </c>
      <c r="B7" s="3"/>
      <c r="C7" s="3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0" customHeight="1">
      <c r="A8" s="13"/>
      <c r="B8" s="14" t="s">
        <v>19</v>
      </c>
      <c r="C8" s="14" t="s">
        <v>20</v>
      </c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0" customHeight="1">
      <c r="A9" s="15" t="s">
        <v>21</v>
      </c>
      <c r="B9" s="12">
        <f>E33+E34</f>
        <v>0</v>
      </c>
      <c r="C9" s="16">
        <f>B9*B$86</f>
        <v>0</v>
      </c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0" customHeight="1">
      <c r="A10" s="15" t="s">
        <v>22</v>
      </c>
      <c r="B10" s="12">
        <f t="shared" ref="B10:C10" si="1">B82</f>
        <v>10</v>
      </c>
      <c r="C10" s="16">
        <f t="shared" si="1"/>
        <v>15100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0" customHeight="1">
      <c r="A11" s="18" t="s">
        <v>23</v>
      </c>
      <c r="B11" s="19">
        <f t="shared" ref="B11:C11" si="2">D103+C123</f>
        <v>0</v>
      </c>
      <c r="C11" s="20">
        <f t="shared" si="2"/>
        <v>0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5.0" customHeight="1">
      <c r="A12" s="22" t="s">
        <v>24</v>
      </c>
      <c r="B12" s="23">
        <f t="shared" ref="B12:C12" si="3">B126</f>
        <v>10</v>
      </c>
      <c r="C12" s="25">
        <f t="shared" si="3"/>
        <v>15100</v>
      </c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0" customHeight="1">
      <c r="A13" s="15" t="s">
        <v>25</v>
      </c>
      <c r="B13" s="12">
        <f t="shared" ref="B13:C13" si="4">B127</f>
        <v>10</v>
      </c>
      <c r="C13" s="16">
        <f t="shared" si="4"/>
        <v>15100</v>
      </c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0" customHeight="1">
      <c r="A14" s="26" t="s">
        <v>26</v>
      </c>
      <c r="B14" s="27">
        <f>IF(E33&gt;0,(B10+B11)/E33,0)</f>
        <v>0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0" customHeight="1">
      <c r="A15" s="26"/>
      <c r="B15" s="28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0" customHeight="1">
      <c r="A16" s="1" t="s">
        <v>27</v>
      </c>
      <c r="B16" s="3"/>
      <c r="C16" s="3"/>
      <c r="D16" s="3"/>
      <c r="E16" s="3"/>
      <c r="F16" s="3"/>
      <c r="G16" s="3"/>
      <c r="H16" s="3"/>
      <c r="I16" s="3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0" customHeight="1">
      <c r="A17" s="13" t="s">
        <v>28</v>
      </c>
      <c r="B17" s="14" t="s">
        <v>29</v>
      </c>
      <c r="C17" s="14" t="s">
        <v>30</v>
      </c>
      <c r="D17" s="14" t="s">
        <v>31</v>
      </c>
      <c r="E17" s="14" t="s">
        <v>32</v>
      </c>
      <c r="F17" s="14" t="s">
        <v>33</v>
      </c>
      <c r="G17" s="14" t="s">
        <v>34</v>
      </c>
      <c r="H17" s="14" t="s">
        <v>35</v>
      </c>
      <c r="I17" s="14" t="s">
        <v>36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0" customHeight="1">
      <c r="A18" s="29"/>
      <c r="B18" s="30"/>
      <c r="C18" s="31">
        <v>0.0</v>
      </c>
      <c r="D18" s="32">
        <v>0.0</v>
      </c>
      <c r="E18" s="33">
        <f t="shared" ref="E18:E32" si="5">C18*D18</f>
        <v>0</v>
      </c>
      <c r="F18" s="31">
        <v>0.0</v>
      </c>
      <c r="G18" s="33">
        <f t="shared" ref="G18:G32" si="6">F18*D18</f>
        <v>0</v>
      </c>
      <c r="H18" s="34">
        <f t="shared" ref="H18:H32" si="7">IF(G$33&gt;0,G18/G$33,0)</f>
        <v>0</v>
      </c>
      <c r="I18" s="35">
        <v>0.0</v>
      </c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0" customHeight="1">
      <c r="A19" s="29"/>
      <c r="B19" s="30"/>
      <c r="C19" s="31">
        <v>0.0</v>
      </c>
      <c r="D19" s="32">
        <v>0.0</v>
      </c>
      <c r="E19" s="33">
        <f t="shared" si="5"/>
        <v>0</v>
      </c>
      <c r="F19" s="31">
        <v>0.0</v>
      </c>
      <c r="G19" s="33">
        <f t="shared" si="6"/>
        <v>0</v>
      </c>
      <c r="H19" s="34">
        <f t="shared" si="7"/>
        <v>0</v>
      </c>
      <c r="I19" s="35">
        <v>0.0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0" customHeight="1">
      <c r="A20" s="29"/>
      <c r="B20" s="30"/>
      <c r="C20" s="31">
        <v>0.0</v>
      </c>
      <c r="D20" s="32">
        <v>0.0</v>
      </c>
      <c r="E20" s="33">
        <f t="shared" si="5"/>
        <v>0</v>
      </c>
      <c r="F20" s="31">
        <v>0.0</v>
      </c>
      <c r="G20" s="33">
        <f t="shared" si="6"/>
        <v>0</v>
      </c>
      <c r="H20" s="34">
        <f t="shared" si="7"/>
        <v>0</v>
      </c>
      <c r="I20" s="35">
        <v>0.0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0" customHeight="1">
      <c r="A21" s="29"/>
      <c r="B21" s="30"/>
      <c r="C21" s="31">
        <v>0.0</v>
      </c>
      <c r="D21" s="32">
        <v>0.0</v>
      </c>
      <c r="E21" s="33">
        <f t="shared" si="5"/>
        <v>0</v>
      </c>
      <c r="F21" s="31">
        <v>0.0</v>
      </c>
      <c r="G21" s="33">
        <f t="shared" si="6"/>
        <v>0</v>
      </c>
      <c r="H21" s="34">
        <f t="shared" si="7"/>
        <v>0</v>
      </c>
      <c r="I21" s="35">
        <v>0.0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0" customHeight="1">
      <c r="A22" s="29"/>
      <c r="B22" s="30"/>
      <c r="C22" s="31">
        <v>0.0</v>
      </c>
      <c r="D22" s="32">
        <v>0.0</v>
      </c>
      <c r="E22" s="33">
        <f t="shared" si="5"/>
        <v>0</v>
      </c>
      <c r="F22" s="31">
        <v>0.0</v>
      </c>
      <c r="G22" s="33">
        <f t="shared" si="6"/>
        <v>0</v>
      </c>
      <c r="H22" s="34">
        <f t="shared" si="7"/>
        <v>0</v>
      </c>
      <c r="I22" s="35">
        <v>0.0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0" customHeight="1">
      <c r="A23" s="29"/>
      <c r="B23" s="30"/>
      <c r="C23" s="31">
        <v>0.0</v>
      </c>
      <c r="D23" s="32">
        <v>0.0</v>
      </c>
      <c r="E23" s="33">
        <f t="shared" si="5"/>
        <v>0</v>
      </c>
      <c r="F23" s="31">
        <v>0.0</v>
      </c>
      <c r="G23" s="33">
        <f t="shared" si="6"/>
        <v>0</v>
      </c>
      <c r="H23" s="34">
        <f t="shared" si="7"/>
        <v>0</v>
      </c>
      <c r="I23" s="35">
        <v>0.0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0" customHeight="1">
      <c r="A24" s="36"/>
      <c r="B24" s="35"/>
      <c r="C24" s="37">
        <v>0.0</v>
      </c>
      <c r="D24" s="38">
        <v>0.0</v>
      </c>
      <c r="E24" s="33">
        <f t="shared" si="5"/>
        <v>0</v>
      </c>
      <c r="F24" s="37">
        <v>0.0</v>
      </c>
      <c r="G24" s="33">
        <f t="shared" si="6"/>
        <v>0</v>
      </c>
      <c r="H24" s="34">
        <f t="shared" si="7"/>
        <v>0</v>
      </c>
      <c r="I24" s="35">
        <v>0.0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0" customHeight="1">
      <c r="A25" s="36"/>
      <c r="B25" s="35"/>
      <c r="C25" s="37">
        <v>0.0</v>
      </c>
      <c r="D25" s="38">
        <v>0.0</v>
      </c>
      <c r="E25" s="33">
        <f t="shared" si="5"/>
        <v>0</v>
      </c>
      <c r="F25" s="37">
        <v>0.0</v>
      </c>
      <c r="G25" s="33">
        <f t="shared" si="6"/>
        <v>0</v>
      </c>
      <c r="H25" s="34">
        <f t="shared" si="7"/>
        <v>0</v>
      </c>
      <c r="I25" s="35">
        <v>0.0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0" customHeight="1">
      <c r="A26" s="36"/>
      <c r="B26" s="35"/>
      <c r="C26" s="37">
        <v>0.0</v>
      </c>
      <c r="D26" s="38">
        <v>0.0</v>
      </c>
      <c r="E26" s="33">
        <f t="shared" si="5"/>
        <v>0</v>
      </c>
      <c r="F26" s="37">
        <v>0.0</v>
      </c>
      <c r="G26" s="33">
        <f t="shared" si="6"/>
        <v>0</v>
      </c>
      <c r="H26" s="34">
        <f t="shared" si="7"/>
        <v>0</v>
      </c>
      <c r="I26" s="35">
        <v>0.0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0" customHeight="1">
      <c r="A27" s="36"/>
      <c r="B27" s="35"/>
      <c r="C27" s="37">
        <v>0.0</v>
      </c>
      <c r="D27" s="38">
        <v>0.0</v>
      </c>
      <c r="E27" s="33">
        <f t="shared" si="5"/>
        <v>0</v>
      </c>
      <c r="F27" s="37">
        <v>0.0</v>
      </c>
      <c r="G27" s="33">
        <f t="shared" si="6"/>
        <v>0</v>
      </c>
      <c r="H27" s="34">
        <f t="shared" si="7"/>
        <v>0</v>
      </c>
      <c r="I27" s="35">
        <v>0.0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0" customHeight="1">
      <c r="A28" s="36"/>
      <c r="B28" s="35"/>
      <c r="C28" s="37">
        <v>0.0</v>
      </c>
      <c r="D28" s="38">
        <v>0.0</v>
      </c>
      <c r="E28" s="33">
        <f t="shared" si="5"/>
        <v>0</v>
      </c>
      <c r="F28" s="37">
        <v>0.0</v>
      </c>
      <c r="G28" s="33">
        <f t="shared" si="6"/>
        <v>0</v>
      </c>
      <c r="H28" s="34">
        <f t="shared" si="7"/>
        <v>0</v>
      </c>
      <c r="I28" s="35">
        <v>0.0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0" customHeight="1">
      <c r="A29" s="36"/>
      <c r="B29" s="35"/>
      <c r="C29" s="37">
        <v>0.0</v>
      </c>
      <c r="D29" s="38">
        <v>0.0</v>
      </c>
      <c r="E29" s="33">
        <f t="shared" si="5"/>
        <v>0</v>
      </c>
      <c r="F29" s="37">
        <v>0.0</v>
      </c>
      <c r="G29" s="33">
        <f t="shared" si="6"/>
        <v>0</v>
      </c>
      <c r="H29" s="34">
        <f t="shared" si="7"/>
        <v>0</v>
      </c>
      <c r="I29" s="35">
        <v>0.0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0" customHeight="1">
      <c r="A30" s="36"/>
      <c r="B30" s="35"/>
      <c r="C30" s="37">
        <v>0.0</v>
      </c>
      <c r="D30" s="38">
        <v>0.0</v>
      </c>
      <c r="E30" s="33">
        <f t="shared" si="5"/>
        <v>0</v>
      </c>
      <c r="F30" s="37">
        <v>0.0</v>
      </c>
      <c r="G30" s="33">
        <f t="shared" si="6"/>
        <v>0</v>
      </c>
      <c r="H30" s="34">
        <f t="shared" si="7"/>
        <v>0</v>
      </c>
      <c r="I30" s="35">
        <v>0.0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0" customHeight="1">
      <c r="A31" s="36"/>
      <c r="B31" s="35"/>
      <c r="C31" s="37">
        <v>0.0</v>
      </c>
      <c r="D31" s="38">
        <v>0.0</v>
      </c>
      <c r="E31" s="33">
        <f t="shared" si="5"/>
        <v>0</v>
      </c>
      <c r="F31" s="37">
        <v>0.0</v>
      </c>
      <c r="G31" s="33">
        <f t="shared" si="6"/>
        <v>0</v>
      </c>
      <c r="H31" s="34">
        <f t="shared" si="7"/>
        <v>0</v>
      </c>
      <c r="I31" s="35">
        <v>0.0</v>
      </c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0" customHeight="1">
      <c r="A32" s="36"/>
      <c r="B32" s="35"/>
      <c r="C32" s="37">
        <v>0.0</v>
      </c>
      <c r="D32" s="38">
        <v>0.0</v>
      </c>
      <c r="E32" s="33">
        <f t="shared" si="5"/>
        <v>0</v>
      </c>
      <c r="F32" s="37">
        <v>0.0</v>
      </c>
      <c r="G32" s="33">
        <f t="shared" si="6"/>
        <v>0</v>
      </c>
      <c r="H32" s="34">
        <f t="shared" si="7"/>
        <v>0</v>
      </c>
      <c r="I32" s="35">
        <v>0.0</v>
      </c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0" customHeight="1">
      <c r="A33" s="39" t="s">
        <v>37</v>
      </c>
      <c r="B33" s="40"/>
      <c r="C33" s="41" t="s">
        <v>38</v>
      </c>
      <c r="D33" s="40"/>
      <c r="E33" s="42">
        <f>SUM(E18:E32)</f>
        <v>0</v>
      </c>
      <c r="F33" s="41" t="s">
        <v>39</v>
      </c>
      <c r="G33" s="42">
        <f>SUM(G18:G32)</f>
        <v>0</v>
      </c>
      <c r="H33" s="41" t="s">
        <v>40</v>
      </c>
      <c r="I33" s="43">
        <f>SUM(I18:I32)</f>
        <v>0</v>
      </c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0" customHeight="1">
      <c r="A34" s="44" t="s">
        <v>41</v>
      </c>
      <c r="B34" s="44"/>
      <c r="C34" s="45">
        <v>0.025</v>
      </c>
      <c r="D34" s="46" t="s">
        <v>42</v>
      </c>
      <c r="E34" s="47">
        <f>E33*C34</f>
        <v>0</v>
      </c>
      <c r="F34" s="46" t="s">
        <v>43</v>
      </c>
      <c r="G34" s="47">
        <f>E33+E34</f>
        <v>0</v>
      </c>
      <c r="H34" s="46"/>
      <c r="I34" s="46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0" customHeight="1">
      <c r="A35" s="48"/>
      <c r="B35" s="49"/>
      <c r="C35" s="50"/>
      <c r="D35" s="51"/>
      <c r="E35" s="52"/>
      <c r="F35" s="51"/>
      <c r="G35" s="52"/>
      <c r="H35" s="53"/>
      <c r="I35" s="53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15.0" customHeight="1">
      <c r="A36" s="55" t="s">
        <v>44</v>
      </c>
      <c r="B36" s="56"/>
      <c r="C36" s="56"/>
      <c r="D36" s="4"/>
      <c r="E36" s="4"/>
      <c r="F36" s="4"/>
      <c r="G36" s="4"/>
      <c r="H36" s="4"/>
      <c r="I36" s="4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0" customHeight="1">
      <c r="A37" s="57" t="s">
        <v>45</v>
      </c>
      <c r="B37" s="58">
        <v>1510.0</v>
      </c>
      <c r="C37" s="7" t="s">
        <v>46</v>
      </c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0" customHeight="1">
      <c r="A38" s="59" t="s">
        <v>47</v>
      </c>
      <c r="B38" s="33">
        <f>G33</f>
        <v>0</v>
      </c>
      <c r="C38" s="60">
        <f t="shared" ref="C38:C41" si="8">B38*B$37</f>
        <v>0</v>
      </c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0" customHeight="1">
      <c r="A39" s="59" t="s">
        <v>48</v>
      </c>
      <c r="B39" s="31">
        <f>D88/2</f>
        <v>0</v>
      </c>
      <c r="C39" s="60">
        <f t="shared" si="8"/>
        <v>0</v>
      </c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0" customHeight="1">
      <c r="A40" s="59" t="s">
        <v>49</v>
      </c>
      <c r="B40" s="31">
        <f>E33*0.3%</f>
        <v>0</v>
      </c>
      <c r="C40" s="60">
        <f t="shared" si="8"/>
        <v>0</v>
      </c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0" customHeight="1">
      <c r="A41" s="39" t="s">
        <v>50</v>
      </c>
      <c r="B41" s="42">
        <f>SUM(B38:B40)</f>
        <v>0</v>
      </c>
      <c r="C41" s="61">
        <f t="shared" si="8"/>
        <v>0</v>
      </c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0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0" customHeight="1">
      <c r="A43" s="1" t="s">
        <v>51</v>
      </c>
      <c r="B43" s="3"/>
      <c r="C43" s="3"/>
      <c r="D43" s="3"/>
      <c r="E43" s="3"/>
      <c r="F43" s="3"/>
      <c r="G43" s="3"/>
      <c r="H43" s="3"/>
      <c r="I43" s="3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0" customHeight="1">
      <c r="A44" s="13" t="s">
        <v>2</v>
      </c>
      <c r="B44" s="14" t="s">
        <v>52</v>
      </c>
      <c r="C44" s="14" t="s">
        <v>53</v>
      </c>
      <c r="D44" s="14" t="s">
        <v>54</v>
      </c>
      <c r="E44" s="14" t="s">
        <v>55</v>
      </c>
      <c r="F44" s="14" t="s">
        <v>56</v>
      </c>
      <c r="G44" s="14" t="s">
        <v>57</v>
      </c>
      <c r="H44" s="14" t="s">
        <v>58</v>
      </c>
      <c r="I44" s="14" t="s">
        <v>59</v>
      </c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0" customHeight="1">
      <c r="A45" s="62" t="str">
        <f t="shared" ref="A45:A59" si="9">A18</f>
        <v/>
      </c>
      <c r="B45" s="33">
        <f t="shared" ref="B45:B59" si="10">G18+(B$39+B$40)*H18</f>
        <v>0</v>
      </c>
      <c r="C45" s="63">
        <v>0.0</v>
      </c>
      <c r="D45" s="33">
        <f t="shared" ref="D45:D59" si="11">B45*C45</f>
        <v>0</v>
      </c>
      <c r="E45" s="64">
        <v>0.03</v>
      </c>
      <c r="F45" s="33">
        <f t="shared" ref="F45:F59" si="12">B45*E45</f>
        <v>0</v>
      </c>
      <c r="G45" s="63">
        <v>0.0</v>
      </c>
      <c r="H45" s="33">
        <f t="shared" ref="H45:H59" si="13">B45*G45</f>
        <v>0</v>
      </c>
      <c r="I45" s="33">
        <f t="shared" ref="I45:I59" si="14">D45+F45+H45</f>
        <v>0</v>
      </c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0" customHeight="1">
      <c r="A46" s="62" t="str">
        <f t="shared" si="9"/>
        <v/>
      </c>
      <c r="B46" s="33">
        <f t="shared" si="10"/>
        <v>0</v>
      </c>
      <c r="C46" s="63">
        <v>0.0</v>
      </c>
      <c r="D46" s="33">
        <f t="shared" si="11"/>
        <v>0</v>
      </c>
      <c r="E46" s="64">
        <v>0.03</v>
      </c>
      <c r="F46" s="33">
        <f t="shared" si="12"/>
        <v>0</v>
      </c>
      <c r="G46" s="63">
        <v>0.0</v>
      </c>
      <c r="H46" s="33">
        <f t="shared" si="13"/>
        <v>0</v>
      </c>
      <c r="I46" s="33">
        <f t="shared" si="14"/>
        <v>0</v>
      </c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0" customHeight="1">
      <c r="A47" s="62" t="str">
        <f t="shared" si="9"/>
        <v/>
      </c>
      <c r="B47" s="33">
        <f t="shared" si="10"/>
        <v>0</v>
      </c>
      <c r="C47" s="63">
        <v>0.0</v>
      </c>
      <c r="D47" s="33">
        <f t="shared" si="11"/>
        <v>0</v>
      </c>
      <c r="E47" s="64">
        <v>0.03</v>
      </c>
      <c r="F47" s="33">
        <f t="shared" si="12"/>
        <v>0</v>
      </c>
      <c r="G47" s="63">
        <v>0.0</v>
      </c>
      <c r="H47" s="33">
        <f t="shared" si="13"/>
        <v>0</v>
      </c>
      <c r="I47" s="33">
        <f t="shared" si="14"/>
        <v>0</v>
      </c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0" customHeight="1">
      <c r="A48" s="62" t="str">
        <f t="shared" si="9"/>
        <v/>
      </c>
      <c r="B48" s="33">
        <f t="shared" si="10"/>
        <v>0</v>
      </c>
      <c r="C48" s="63">
        <v>0.0</v>
      </c>
      <c r="D48" s="33">
        <f t="shared" si="11"/>
        <v>0</v>
      </c>
      <c r="E48" s="64">
        <v>0.03</v>
      </c>
      <c r="F48" s="33">
        <f t="shared" si="12"/>
        <v>0</v>
      </c>
      <c r="G48" s="63">
        <v>0.0</v>
      </c>
      <c r="H48" s="33">
        <f t="shared" si="13"/>
        <v>0</v>
      </c>
      <c r="I48" s="33">
        <f t="shared" si="14"/>
        <v>0</v>
      </c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0" customHeight="1">
      <c r="A49" s="62" t="str">
        <f t="shared" si="9"/>
        <v/>
      </c>
      <c r="B49" s="33">
        <f t="shared" si="10"/>
        <v>0</v>
      </c>
      <c r="C49" s="63">
        <v>0.0</v>
      </c>
      <c r="D49" s="33">
        <f t="shared" si="11"/>
        <v>0</v>
      </c>
      <c r="E49" s="64">
        <v>0.03</v>
      </c>
      <c r="F49" s="33">
        <f t="shared" si="12"/>
        <v>0</v>
      </c>
      <c r="G49" s="63">
        <v>0.0</v>
      </c>
      <c r="H49" s="33">
        <f t="shared" si="13"/>
        <v>0</v>
      </c>
      <c r="I49" s="33">
        <f t="shared" si="14"/>
        <v>0</v>
      </c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0" customHeight="1">
      <c r="A50" s="62" t="str">
        <f t="shared" si="9"/>
        <v/>
      </c>
      <c r="B50" s="33">
        <f t="shared" si="10"/>
        <v>0</v>
      </c>
      <c r="C50" s="63">
        <v>0.0</v>
      </c>
      <c r="D50" s="33">
        <f t="shared" si="11"/>
        <v>0</v>
      </c>
      <c r="E50" s="64">
        <v>0.03</v>
      </c>
      <c r="F50" s="33">
        <f t="shared" si="12"/>
        <v>0</v>
      </c>
      <c r="G50" s="63">
        <v>0.0</v>
      </c>
      <c r="H50" s="33">
        <f t="shared" si="13"/>
        <v>0</v>
      </c>
      <c r="I50" s="33">
        <f t="shared" si="14"/>
        <v>0</v>
      </c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0" customHeight="1">
      <c r="A51" s="62" t="str">
        <f t="shared" si="9"/>
        <v/>
      </c>
      <c r="B51" s="33">
        <f t="shared" si="10"/>
        <v>0</v>
      </c>
      <c r="C51" s="63">
        <v>0.0</v>
      </c>
      <c r="D51" s="33">
        <f t="shared" si="11"/>
        <v>0</v>
      </c>
      <c r="E51" s="64">
        <v>0.03</v>
      </c>
      <c r="F51" s="33">
        <f t="shared" si="12"/>
        <v>0</v>
      </c>
      <c r="G51" s="63">
        <v>0.0</v>
      </c>
      <c r="H51" s="33">
        <f t="shared" si="13"/>
        <v>0</v>
      </c>
      <c r="I51" s="33">
        <f t="shared" si="14"/>
        <v>0</v>
      </c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0" customHeight="1">
      <c r="A52" s="62" t="str">
        <f t="shared" si="9"/>
        <v/>
      </c>
      <c r="B52" s="33">
        <f t="shared" si="10"/>
        <v>0</v>
      </c>
      <c r="C52" s="63">
        <v>0.0</v>
      </c>
      <c r="D52" s="33">
        <f t="shared" si="11"/>
        <v>0</v>
      </c>
      <c r="E52" s="64">
        <v>0.03</v>
      </c>
      <c r="F52" s="33">
        <f t="shared" si="12"/>
        <v>0</v>
      </c>
      <c r="G52" s="63">
        <v>0.0</v>
      </c>
      <c r="H52" s="33">
        <f t="shared" si="13"/>
        <v>0</v>
      </c>
      <c r="I52" s="33">
        <f t="shared" si="14"/>
        <v>0</v>
      </c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0" customHeight="1">
      <c r="A53" s="62" t="str">
        <f t="shared" si="9"/>
        <v/>
      </c>
      <c r="B53" s="33">
        <f t="shared" si="10"/>
        <v>0</v>
      </c>
      <c r="C53" s="63">
        <v>0.0</v>
      </c>
      <c r="D53" s="33">
        <f t="shared" si="11"/>
        <v>0</v>
      </c>
      <c r="E53" s="64">
        <v>0.03</v>
      </c>
      <c r="F53" s="33">
        <f t="shared" si="12"/>
        <v>0</v>
      </c>
      <c r="G53" s="63">
        <v>0.0</v>
      </c>
      <c r="H53" s="33">
        <f t="shared" si="13"/>
        <v>0</v>
      </c>
      <c r="I53" s="33">
        <f t="shared" si="14"/>
        <v>0</v>
      </c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0" customHeight="1">
      <c r="A54" s="62" t="str">
        <f t="shared" si="9"/>
        <v/>
      </c>
      <c r="B54" s="33">
        <f t="shared" si="10"/>
        <v>0</v>
      </c>
      <c r="C54" s="63">
        <v>0.0</v>
      </c>
      <c r="D54" s="33">
        <f t="shared" si="11"/>
        <v>0</v>
      </c>
      <c r="E54" s="64">
        <v>0.03</v>
      </c>
      <c r="F54" s="33">
        <f t="shared" si="12"/>
        <v>0</v>
      </c>
      <c r="G54" s="63">
        <v>0.0</v>
      </c>
      <c r="H54" s="33">
        <f t="shared" si="13"/>
        <v>0</v>
      </c>
      <c r="I54" s="33">
        <f t="shared" si="14"/>
        <v>0</v>
      </c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0" customHeight="1">
      <c r="A55" s="62" t="str">
        <f t="shared" si="9"/>
        <v/>
      </c>
      <c r="B55" s="33">
        <f t="shared" si="10"/>
        <v>0</v>
      </c>
      <c r="C55" s="63">
        <v>0.0</v>
      </c>
      <c r="D55" s="33">
        <f t="shared" si="11"/>
        <v>0</v>
      </c>
      <c r="E55" s="64">
        <v>0.03</v>
      </c>
      <c r="F55" s="33">
        <f t="shared" si="12"/>
        <v>0</v>
      </c>
      <c r="G55" s="63">
        <v>0.0</v>
      </c>
      <c r="H55" s="33">
        <f t="shared" si="13"/>
        <v>0</v>
      </c>
      <c r="I55" s="33">
        <f t="shared" si="14"/>
        <v>0</v>
      </c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0" customHeight="1">
      <c r="A56" s="62" t="str">
        <f t="shared" si="9"/>
        <v/>
      </c>
      <c r="B56" s="33">
        <f t="shared" si="10"/>
        <v>0</v>
      </c>
      <c r="C56" s="63">
        <v>0.0</v>
      </c>
      <c r="D56" s="33">
        <f t="shared" si="11"/>
        <v>0</v>
      </c>
      <c r="E56" s="64">
        <v>0.03</v>
      </c>
      <c r="F56" s="33">
        <f t="shared" si="12"/>
        <v>0</v>
      </c>
      <c r="G56" s="63">
        <v>0.0</v>
      </c>
      <c r="H56" s="33">
        <f t="shared" si="13"/>
        <v>0</v>
      </c>
      <c r="I56" s="33">
        <f t="shared" si="14"/>
        <v>0</v>
      </c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0" customHeight="1">
      <c r="A57" s="62" t="str">
        <f t="shared" si="9"/>
        <v/>
      </c>
      <c r="B57" s="33">
        <f t="shared" si="10"/>
        <v>0</v>
      </c>
      <c r="C57" s="63">
        <v>0.0</v>
      </c>
      <c r="D57" s="33">
        <f t="shared" si="11"/>
        <v>0</v>
      </c>
      <c r="E57" s="64">
        <v>0.03</v>
      </c>
      <c r="F57" s="33">
        <f t="shared" si="12"/>
        <v>0</v>
      </c>
      <c r="G57" s="63">
        <v>0.0</v>
      </c>
      <c r="H57" s="33">
        <f t="shared" si="13"/>
        <v>0</v>
      </c>
      <c r="I57" s="33">
        <f t="shared" si="14"/>
        <v>0</v>
      </c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0" customHeight="1">
      <c r="A58" s="62" t="str">
        <f t="shared" si="9"/>
        <v/>
      </c>
      <c r="B58" s="33">
        <f t="shared" si="10"/>
        <v>0</v>
      </c>
      <c r="C58" s="63">
        <v>0.0</v>
      </c>
      <c r="D58" s="33">
        <f t="shared" si="11"/>
        <v>0</v>
      </c>
      <c r="E58" s="64">
        <v>0.03</v>
      </c>
      <c r="F58" s="33">
        <f t="shared" si="12"/>
        <v>0</v>
      </c>
      <c r="G58" s="63">
        <v>0.0</v>
      </c>
      <c r="H58" s="33">
        <f t="shared" si="13"/>
        <v>0</v>
      </c>
      <c r="I58" s="33">
        <f t="shared" si="14"/>
        <v>0</v>
      </c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0" customHeight="1">
      <c r="A59" s="62" t="str">
        <f t="shared" si="9"/>
        <v/>
      </c>
      <c r="B59" s="33">
        <f t="shared" si="10"/>
        <v>0</v>
      </c>
      <c r="C59" s="63">
        <v>0.0</v>
      </c>
      <c r="D59" s="33">
        <f t="shared" si="11"/>
        <v>0</v>
      </c>
      <c r="E59" s="64">
        <v>0.03</v>
      </c>
      <c r="F59" s="33">
        <f t="shared" si="12"/>
        <v>0</v>
      </c>
      <c r="G59" s="63">
        <v>0.0</v>
      </c>
      <c r="H59" s="33">
        <f t="shared" si="13"/>
        <v>0</v>
      </c>
      <c r="I59" s="33">
        <f t="shared" si="14"/>
        <v>0</v>
      </c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0" customHeight="1">
      <c r="A60" s="39" t="s">
        <v>60</v>
      </c>
      <c r="B60" s="42">
        <f>SUM(B45:B59)</f>
        <v>0</v>
      </c>
      <c r="C60" s="40"/>
      <c r="D60" s="42">
        <f>SUM(D45:D59)</f>
        <v>0</v>
      </c>
      <c r="E60" s="40"/>
      <c r="F60" s="42">
        <f>SUM(F45:F59)</f>
        <v>0</v>
      </c>
      <c r="G60" s="40"/>
      <c r="H60" s="42">
        <f t="shared" ref="H60:I60" si="15">SUM(H45:H59)</f>
        <v>0</v>
      </c>
      <c r="I60" s="42">
        <f t="shared" si="15"/>
        <v>0</v>
      </c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0" customHeight="1">
      <c r="A61" s="65" t="s">
        <v>61</v>
      </c>
      <c r="B61" s="66">
        <f>B41+I60</f>
        <v>0</v>
      </c>
      <c r="C61" s="67">
        <f>B61*B$37</f>
        <v>0</v>
      </c>
      <c r="D61" s="68"/>
      <c r="E61" s="68"/>
      <c r="F61" s="68"/>
      <c r="G61" s="68"/>
      <c r="H61" s="68"/>
      <c r="I61" s="68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0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0" customHeight="1">
      <c r="A63" s="1" t="s">
        <v>62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0" customHeight="1">
      <c r="A64" s="13" t="s">
        <v>2</v>
      </c>
      <c r="B64" s="14" t="s">
        <v>63</v>
      </c>
      <c r="C64" s="14" t="s">
        <v>64</v>
      </c>
      <c r="D64" s="14" t="s">
        <v>65</v>
      </c>
      <c r="E64" s="14" t="s">
        <v>66</v>
      </c>
      <c r="F64" s="14" t="s">
        <v>67</v>
      </c>
      <c r="G64" s="14" t="s">
        <v>68</v>
      </c>
      <c r="H64" s="14" t="s">
        <v>69</v>
      </c>
      <c r="I64" s="14" t="s">
        <v>70</v>
      </c>
      <c r="J64" s="14" t="s">
        <v>71</v>
      </c>
      <c r="K64" s="14" t="s">
        <v>59</v>
      </c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0" customHeight="1">
      <c r="A65" s="62" t="str">
        <f t="shared" ref="A65:A79" si="16">A18</f>
        <v/>
      </c>
      <c r="B65" s="33">
        <f t="shared" ref="B65:B79" si="17">B45+I45</f>
        <v>0</v>
      </c>
      <c r="C65" s="63">
        <v>0.21</v>
      </c>
      <c r="D65" s="33">
        <f t="shared" ref="D65:D79" si="18">B65*C65</f>
        <v>0</v>
      </c>
      <c r="E65" s="64">
        <v>0.0</v>
      </c>
      <c r="F65" s="33">
        <f t="shared" ref="F65:F79" si="19">B65*E65</f>
        <v>0</v>
      </c>
      <c r="G65" s="64">
        <v>0.0</v>
      </c>
      <c r="H65" s="33">
        <f t="shared" ref="H65:H79" si="20">B65*G65</f>
        <v>0</v>
      </c>
      <c r="I65" s="69">
        <v>0.05</v>
      </c>
      <c r="J65" s="70">
        <f t="shared" ref="J65:J79" si="21">B65*I65</f>
        <v>0</v>
      </c>
      <c r="K65" s="70">
        <f t="shared" ref="K65:K79" si="22">D65+F65+H65+J65</f>
        <v>0</v>
      </c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0" customHeight="1">
      <c r="A66" s="62" t="str">
        <f t="shared" si="16"/>
        <v/>
      </c>
      <c r="B66" s="33">
        <f t="shared" si="17"/>
        <v>0</v>
      </c>
      <c r="C66" s="63">
        <v>0.21</v>
      </c>
      <c r="D66" s="33">
        <f t="shared" si="18"/>
        <v>0</v>
      </c>
      <c r="E66" s="64">
        <v>0.0</v>
      </c>
      <c r="F66" s="33">
        <f t="shared" si="19"/>
        <v>0</v>
      </c>
      <c r="G66" s="64">
        <v>0.0</v>
      </c>
      <c r="H66" s="33">
        <f t="shared" si="20"/>
        <v>0</v>
      </c>
      <c r="I66" s="69">
        <v>0.05</v>
      </c>
      <c r="J66" s="70">
        <f t="shared" si="21"/>
        <v>0</v>
      </c>
      <c r="K66" s="70">
        <f t="shared" si="22"/>
        <v>0</v>
      </c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0" customHeight="1">
      <c r="A67" s="62" t="str">
        <f t="shared" si="16"/>
        <v/>
      </c>
      <c r="B67" s="33">
        <f t="shared" si="17"/>
        <v>0</v>
      </c>
      <c r="C67" s="63">
        <v>0.21</v>
      </c>
      <c r="D67" s="33">
        <f t="shared" si="18"/>
        <v>0</v>
      </c>
      <c r="E67" s="64">
        <v>0.0</v>
      </c>
      <c r="F67" s="33">
        <f t="shared" si="19"/>
        <v>0</v>
      </c>
      <c r="G67" s="64">
        <v>0.0</v>
      </c>
      <c r="H67" s="33">
        <f t="shared" si="20"/>
        <v>0</v>
      </c>
      <c r="I67" s="69">
        <v>0.05</v>
      </c>
      <c r="J67" s="70">
        <f t="shared" si="21"/>
        <v>0</v>
      </c>
      <c r="K67" s="70">
        <f t="shared" si="22"/>
        <v>0</v>
      </c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0" customHeight="1">
      <c r="A68" s="62" t="str">
        <f t="shared" si="16"/>
        <v/>
      </c>
      <c r="B68" s="33">
        <f t="shared" si="17"/>
        <v>0</v>
      </c>
      <c r="C68" s="63">
        <v>0.21</v>
      </c>
      <c r="D68" s="33">
        <f t="shared" si="18"/>
        <v>0</v>
      </c>
      <c r="E68" s="64">
        <v>0.0</v>
      </c>
      <c r="F68" s="33">
        <f t="shared" si="19"/>
        <v>0</v>
      </c>
      <c r="G68" s="64">
        <v>0.0</v>
      </c>
      <c r="H68" s="33">
        <f t="shared" si="20"/>
        <v>0</v>
      </c>
      <c r="I68" s="69">
        <v>0.05</v>
      </c>
      <c r="J68" s="70">
        <f t="shared" si="21"/>
        <v>0</v>
      </c>
      <c r="K68" s="70">
        <f t="shared" si="22"/>
        <v>0</v>
      </c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0" customHeight="1">
      <c r="A69" s="62" t="str">
        <f t="shared" si="16"/>
        <v/>
      </c>
      <c r="B69" s="33">
        <f t="shared" si="17"/>
        <v>0</v>
      </c>
      <c r="C69" s="63">
        <v>0.21</v>
      </c>
      <c r="D69" s="33">
        <f t="shared" si="18"/>
        <v>0</v>
      </c>
      <c r="E69" s="64">
        <v>0.0</v>
      </c>
      <c r="F69" s="33">
        <f t="shared" si="19"/>
        <v>0</v>
      </c>
      <c r="G69" s="64">
        <v>0.0</v>
      </c>
      <c r="H69" s="33">
        <f t="shared" si="20"/>
        <v>0</v>
      </c>
      <c r="I69" s="69">
        <v>0.05</v>
      </c>
      <c r="J69" s="70">
        <f t="shared" si="21"/>
        <v>0</v>
      </c>
      <c r="K69" s="70">
        <f t="shared" si="22"/>
        <v>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0" customHeight="1">
      <c r="A70" s="62" t="str">
        <f t="shared" si="16"/>
        <v/>
      </c>
      <c r="B70" s="33">
        <f t="shared" si="17"/>
        <v>0</v>
      </c>
      <c r="C70" s="63">
        <v>0.21</v>
      </c>
      <c r="D70" s="33">
        <f t="shared" si="18"/>
        <v>0</v>
      </c>
      <c r="E70" s="64">
        <v>0.0</v>
      </c>
      <c r="F70" s="33">
        <f t="shared" si="19"/>
        <v>0</v>
      </c>
      <c r="G70" s="64">
        <v>0.0</v>
      </c>
      <c r="H70" s="33">
        <f t="shared" si="20"/>
        <v>0</v>
      </c>
      <c r="I70" s="69">
        <v>0.05</v>
      </c>
      <c r="J70" s="70">
        <f t="shared" si="21"/>
        <v>0</v>
      </c>
      <c r="K70" s="70">
        <f t="shared" si="22"/>
        <v>0</v>
      </c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0" customHeight="1">
      <c r="A71" s="62" t="str">
        <f t="shared" si="16"/>
        <v/>
      </c>
      <c r="B71" s="33">
        <f t="shared" si="17"/>
        <v>0</v>
      </c>
      <c r="C71" s="63">
        <v>0.21</v>
      </c>
      <c r="D71" s="33">
        <f t="shared" si="18"/>
        <v>0</v>
      </c>
      <c r="E71" s="64">
        <v>0.0</v>
      </c>
      <c r="F71" s="33">
        <f t="shared" si="19"/>
        <v>0</v>
      </c>
      <c r="G71" s="64">
        <v>0.0</v>
      </c>
      <c r="H71" s="33">
        <f t="shared" si="20"/>
        <v>0</v>
      </c>
      <c r="I71" s="69">
        <v>0.05</v>
      </c>
      <c r="J71" s="70">
        <f t="shared" si="21"/>
        <v>0</v>
      </c>
      <c r="K71" s="70">
        <f t="shared" si="22"/>
        <v>0</v>
      </c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0" customHeight="1">
      <c r="A72" s="62" t="str">
        <f t="shared" si="16"/>
        <v/>
      </c>
      <c r="B72" s="33">
        <f t="shared" si="17"/>
        <v>0</v>
      </c>
      <c r="C72" s="63">
        <v>0.21</v>
      </c>
      <c r="D72" s="33">
        <f t="shared" si="18"/>
        <v>0</v>
      </c>
      <c r="E72" s="64">
        <v>0.0</v>
      </c>
      <c r="F72" s="33">
        <f t="shared" si="19"/>
        <v>0</v>
      </c>
      <c r="G72" s="64">
        <v>0.0</v>
      </c>
      <c r="H72" s="33">
        <f t="shared" si="20"/>
        <v>0</v>
      </c>
      <c r="I72" s="69">
        <v>0.05</v>
      </c>
      <c r="J72" s="70">
        <f t="shared" si="21"/>
        <v>0</v>
      </c>
      <c r="K72" s="70">
        <f t="shared" si="22"/>
        <v>0</v>
      </c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0" customHeight="1">
      <c r="A73" s="62" t="str">
        <f t="shared" si="16"/>
        <v/>
      </c>
      <c r="B73" s="33">
        <f t="shared" si="17"/>
        <v>0</v>
      </c>
      <c r="C73" s="63">
        <v>0.21</v>
      </c>
      <c r="D73" s="33">
        <f t="shared" si="18"/>
        <v>0</v>
      </c>
      <c r="E73" s="64">
        <v>0.0</v>
      </c>
      <c r="F73" s="33">
        <f t="shared" si="19"/>
        <v>0</v>
      </c>
      <c r="G73" s="64">
        <v>0.0</v>
      </c>
      <c r="H73" s="33">
        <f t="shared" si="20"/>
        <v>0</v>
      </c>
      <c r="I73" s="69">
        <v>0.05</v>
      </c>
      <c r="J73" s="70">
        <f t="shared" si="21"/>
        <v>0</v>
      </c>
      <c r="K73" s="70">
        <f t="shared" si="22"/>
        <v>0</v>
      </c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0" customHeight="1">
      <c r="A74" s="62" t="str">
        <f t="shared" si="16"/>
        <v/>
      </c>
      <c r="B74" s="33">
        <f t="shared" si="17"/>
        <v>0</v>
      </c>
      <c r="C74" s="63">
        <v>0.21</v>
      </c>
      <c r="D74" s="33">
        <f t="shared" si="18"/>
        <v>0</v>
      </c>
      <c r="E74" s="64">
        <v>0.0</v>
      </c>
      <c r="F74" s="33">
        <f t="shared" si="19"/>
        <v>0</v>
      </c>
      <c r="G74" s="64">
        <v>0.0</v>
      </c>
      <c r="H74" s="33">
        <f t="shared" si="20"/>
        <v>0</v>
      </c>
      <c r="I74" s="69">
        <v>0.05</v>
      </c>
      <c r="J74" s="70">
        <f t="shared" si="21"/>
        <v>0</v>
      </c>
      <c r="K74" s="70">
        <f t="shared" si="22"/>
        <v>0</v>
      </c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0" customHeight="1">
      <c r="A75" s="62" t="str">
        <f t="shared" si="16"/>
        <v/>
      </c>
      <c r="B75" s="33">
        <f t="shared" si="17"/>
        <v>0</v>
      </c>
      <c r="C75" s="63">
        <v>0.21</v>
      </c>
      <c r="D75" s="33">
        <f t="shared" si="18"/>
        <v>0</v>
      </c>
      <c r="E75" s="64">
        <v>0.0</v>
      </c>
      <c r="F75" s="33">
        <f t="shared" si="19"/>
        <v>0</v>
      </c>
      <c r="G75" s="64">
        <v>0.0</v>
      </c>
      <c r="H75" s="33">
        <f t="shared" si="20"/>
        <v>0</v>
      </c>
      <c r="I75" s="69">
        <v>0.05</v>
      </c>
      <c r="J75" s="70">
        <f t="shared" si="21"/>
        <v>0</v>
      </c>
      <c r="K75" s="70">
        <f t="shared" si="22"/>
        <v>0</v>
      </c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0" customHeight="1">
      <c r="A76" s="62" t="str">
        <f t="shared" si="16"/>
        <v/>
      </c>
      <c r="B76" s="33">
        <f t="shared" si="17"/>
        <v>0</v>
      </c>
      <c r="C76" s="63">
        <v>0.21</v>
      </c>
      <c r="D76" s="33">
        <f t="shared" si="18"/>
        <v>0</v>
      </c>
      <c r="E76" s="64">
        <v>0.0</v>
      </c>
      <c r="F76" s="33">
        <f t="shared" si="19"/>
        <v>0</v>
      </c>
      <c r="G76" s="64">
        <v>0.0</v>
      </c>
      <c r="H76" s="33">
        <f t="shared" si="20"/>
        <v>0</v>
      </c>
      <c r="I76" s="69">
        <v>0.05</v>
      </c>
      <c r="J76" s="70">
        <f t="shared" si="21"/>
        <v>0</v>
      </c>
      <c r="K76" s="70">
        <f t="shared" si="22"/>
        <v>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0" customHeight="1">
      <c r="A77" s="62" t="str">
        <f t="shared" si="16"/>
        <v/>
      </c>
      <c r="B77" s="33">
        <f t="shared" si="17"/>
        <v>0</v>
      </c>
      <c r="C77" s="63">
        <v>0.21</v>
      </c>
      <c r="D77" s="33">
        <f t="shared" si="18"/>
        <v>0</v>
      </c>
      <c r="E77" s="64">
        <v>0.0</v>
      </c>
      <c r="F77" s="33">
        <f t="shared" si="19"/>
        <v>0</v>
      </c>
      <c r="G77" s="64">
        <v>0.0</v>
      </c>
      <c r="H77" s="33">
        <f t="shared" si="20"/>
        <v>0</v>
      </c>
      <c r="I77" s="69">
        <v>0.05</v>
      </c>
      <c r="J77" s="70">
        <f t="shared" si="21"/>
        <v>0</v>
      </c>
      <c r="K77" s="70">
        <f t="shared" si="22"/>
        <v>0</v>
      </c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0" customHeight="1">
      <c r="A78" s="62" t="str">
        <f t="shared" si="16"/>
        <v/>
      </c>
      <c r="B78" s="33">
        <f t="shared" si="17"/>
        <v>0</v>
      </c>
      <c r="C78" s="63">
        <v>0.21</v>
      </c>
      <c r="D78" s="33">
        <f t="shared" si="18"/>
        <v>0</v>
      </c>
      <c r="E78" s="64">
        <v>0.0</v>
      </c>
      <c r="F78" s="33">
        <f t="shared" si="19"/>
        <v>0</v>
      </c>
      <c r="G78" s="64">
        <v>0.0</v>
      </c>
      <c r="H78" s="33">
        <f t="shared" si="20"/>
        <v>0</v>
      </c>
      <c r="I78" s="69">
        <v>0.05</v>
      </c>
      <c r="J78" s="70">
        <f t="shared" si="21"/>
        <v>0</v>
      </c>
      <c r="K78" s="70">
        <f t="shared" si="22"/>
        <v>0</v>
      </c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0" customHeight="1">
      <c r="A79" s="62" t="str">
        <f t="shared" si="16"/>
        <v/>
      </c>
      <c r="B79" s="33">
        <f t="shared" si="17"/>
        <v>0</v>
      </c>
      <c r="C79" s="63">
        <v>0.21</v>
      </c>
      <c r="D79" s="33">
        <f t="shared" si="18"/>
        <v>0</v>
      </c>
      <c r="E79" s="64">
        <v>0.0</v>
      </c>
      <c r="F79" s="33">
        <f t="shared" si="19"/>
        <v>0</v>
      </c>
      <c r="G79" s="64">
        <v>0.0</v>
      </c>
      <c r="H79" s="33">
        <f t="shared" si="20"/>
        <v>0</v>
      </c>
      <c r="I79" s="69">
        <v>0.05</v>
      </c>
      <c r="J79" s="70">
        <f t="shared" si="21"/>
        <v>0</v>
      </c>
      <c r="K79" s="70">
        <f t="shared" si="22"/>
        <v>0</v>
      </c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0" customHeight="1">
      <c r="A80" s="39" t="s">
        <v>72</v>
      </c>
      <c r="B80" s="40"/>
      <c r="C80" s="40"/>
      <c r="D80" s="42">
        <f>SUM(D65:D79)</f>
        <v>0</v>
      </c>
      <c r="E80" s="40"/>
      <c r="F80" s="42">
        <f>SUM(F65:F79)</f>
        <v>0</v>
      </c>
      <c r="G80" s="40"/>
      <c r="H80" s="42">
        <f>SUM(H65:H79)</f>
        <v>0</v>
      </c>
      <c r="I80" s="42"/>
      <c r="J80" s="71">
        <f t="shared" ref="J80:K80" si="23">SUM(J65:J79)</f>
        <v>0</v>
      </c>
      <c r="K80" s="71">
        <f t="shared" si="23"/>
        <v>0</v>
      </c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0" customHeight="1">
      <c r="A81" s="57" t="s">
        <v>73</v>
      </c>
      <c r="B81" s="31">
        <v>10.0</v>
      </c>
      <c r="C81" s="60">
        <f t="shared" ref="C81:C82" si="24">B81*B$37</f>
        <v>15100</v>
      </c>
      <c r="D81" s="7"/>
      <c r="E81" s="72"/>
      <c r="F81" s="72"/>
      <c r="G81" s="72"/>
      <c r="H81" s="72"/>
      <c r="I81" s="73"/>
      <c r="J81" s="72"/>
      <c r="K81" s="72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0" customHeight="1">
      <c r="A82" s="65" t="s">
        <v>74</v>
      </c>
      <c r="B82" s="66">
        <f>I60+K80+B81</f>
        <v>10</v>
      </c>
      <c r="C82" s="67">
        <f t="shared" si="24"/>
        <v>15100</v>
      </c>
      <c r="D82" s="68"/>
      <c r="E82" s="68"/>
      <c r="F82" s="68"/>
      <c r="G82" s="68"/>
      <c r="H82" s="68"/>
      <c r="I82" s="68"/>
      <c r="J82" s="68"/>
      <c r="K82" s="68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0" customHeight="1">
      <c r="A83" s="74"/>
      <c r="B83" s="75"/>
      <c r="C83" s="76"/>
      <c r="D83" s="77"/>
      <c r="E83" s="77"/>
      <c r="F83" s="77"/>
      <c r="G83" s="77"/>
      <c r="H83" s="77"/>
      <c r="I83" s="77"/>
      <c r="J83" s="77"/>
      <c r="K83" s="77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0" customHeight="1">
      <c r="A84" s="77"/>
      <c r="B84" s="77"/>
      <c r="C84" s="77"/>
      <c r="D84" s="77"/>
      <c r="E84" s="77"/>
      <c r="F84" s="77"/>
      <c r="G84" s="77"/>
      <c r="H84" s="77"/>
      <c r="I84" s="77"/>
      <c r="J84" s="77"/>
      <c r="K84" s="77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0" customHeight="1">
      <c r="A85" s="1" t="s">
        <v>75</v>
      </c>
      <c r="B85" s="3"/>
      <c r="C85" s="3"/>
      <c r="D85" s="3"/>
      <c r="E85" s="3"/>
      <c r="F85" s="3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0" customHeight="1">
      <c r="A86" s="57" t="s">
        <v>76</v>
      </c>
      <c r="B86" s="78">
        <v>1560.0</v>
      </c>
      <c r="C86" s="79" t="s">
        <v>77</v>
      </c>
      <c r="D86" s="79"/>
      <c r="E86" s="79"/>
      <c r="F86" s="79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0" customHeight="1">
      <c r="A87" s="13" t="s">
        <v>78</v>
      </c>
      <c r="B87" s="14" t="s">
        <v>79</v>
      </c>
      <c r="C87" s="14" t="s">
        <v>80</v>
      </c>
      <c r="D87" s="14" t="s">
        <v>19</v>
      </c>
      <c r="E87" s="14" t="s">
        <v>20</v>
      </c>
      <c r="F87" s="14" t="s">
        <v>81</v>
      </c>
      <c r="G87" s="6" t="s">
        <v>82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0" customHeight="1">
      <c r="A88" s="81" t="s">
        <v>84</v>
      </c>
      <c r="B88" s="82" t="s">
        <v>19</v>
      </c>
      <c r="C88" s="83">
        <v>0.0</v>
      </c>
      <c r="D88" s="85">
        <f t="shared" ref="D88:D102" si="25">IF(B88="USD",IF(G88="SI",C88/1.21,C88),IF(B$86&gt;0,IF(G88="SI",C88/1.21,C88)/B$86,0))</f>
        <v>0</v>
      </c>
      <c r="E88" s="86">
        <f t="shared" ref="E88:E102" si="26">IF(B88="ARS",IF(G88="SI",C88/1.21,C88),IF(G88="SI",C88/1.21,C88)*B$86)</f>
        <v>0</v>
      </c>
      <c r="F88" s="87" t="s">
        <v>85</v>
      </c>
      <c r="G88" s="88" t="s">
        <v>86</v>
      </c>
      <c r="H88" s="77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0" customHeight="1">
      <c r="A89" s="81" t="s">
        <v>87</v>
      </c>
      <c r="B89" s="82" t="s">
        <v>19</v>
      </c>
      <c r="C89" s="83">
        <f>E33*0.3%</f>
        <v>0</v>
      </c>
      <c r="D89" s="85">
        <f t="shared" si="25"/>
        <v>0</v>
      </c>
      <c r="E89" s="86">
        <f t="shared" si="26"/>
        <v>0</v>
      </c>
      <c r="F89" s="91" t="s">
        <v>89</v>
      </c>
      <c r="G89" s="88" t="s">
        <v>86</v>
      </c>
      <c r="H89" s="77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6.5" customHeight="1">
      <c r="A90" s="81" t="s">
        <v>90</v>
      </c>
      <c r="B90" s="82" t="s">
        <v>19</v>
      </c>
      <c r="C90" s="92">
        <v>0.0</v>
      </c>
      <c r="D90" s="85">
        <f t="shared" si="25"/>
        <v>0</v>
      </c>
      <c r="E90" s="86">
        <f t="shared" si="26"/>
        <v>0</v>
      </c>
      <c r="F90" s="87" t="s">
        <v>89</v>
      </c>
      <c r="G90" s="88" t="s">
        <v>86</v>
      </c>
      <c r="H90" s="77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0" customHeight="1">
      <c r="A91" s="81" t="s">
        <v>91</v>
      </c>
      <c r="B91" s="82" t="s">
        <v>19</v>
      </c>
      <c r="C91" s="83">
        <v>0.0</v>
      </c>
      <c r="D91" s="85">
        <f t="shared" si="25"/>
        <v>0</v>
      </c>
      <c r="E91" s="86">
        <f t="shared" si="26"/>
        <v>0</v>
      </c>
      <c r="F91" s="87" t="s">
        <v>89</v>
      </c>
      <c r="G91" s="88" t="s">
        <v>86</v>
      </c>
      <c r="H91" s="77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0" customHeight="1">
      <c r="A92" s="81" t="s">
        <v>92</v>
      </c>
      <c r="B92" s="82" t="s">
        <v>19</v>
      </c>
      <c r="C92" s="83">
        <v>0.0</v>
      </c>
      <c r="D92" s="85">
        <f t="shared" si="25"/>
        <v>0</v>
      </c>
      <c r="E92" s="86">
        <f t="shared" si="26"/>
        <v>0</v>
      </c>
      <c r="F92" s="87" t="s">
        <v>85</v>
      </c>
      <c r="G92" s="88" t="s">
        <v>86</v>
      </c>
      <c r="H92" s="77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0" customHeight="1">
      <c r="A93" s="81" t="s">
        <v>93</v>
      </c>
      <c r="B93" s="82" t="s">
        <v>19</v>
      </c>
      <c r="C93" s="83">
        <v>0.0</v>
      </c>
      <c r="D93" s="85">
        <f t="shared" si="25"/>
        <v>0</v>
      </c>
      <c r="E93" s="86">
        <f t="shared" si="26"/>
        <v>0</v>
      </c>
      <c r="F93" s="87" t="s">
        <v>85</v>
      </c>
      <c r="G93" s="88" t="s">
        <v>86</v>
      </c>
      <c r="H93" s="77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0" customHeight="1">
      <c r="A94" s="94" t="s">
        <v>101</v>
      </c>
      <c r="B94" s="82" t="s">
        <v>19</v>
      </c>
      <c r="C94" s="92">
        <v>0.0</v>
      </c>
      <c r="D94" s="85">
        <f t="shared" si="25"/>
        <v>0</v>
      </c>
      <c r="E94" s="86">
        <f t="shared" si="26"/>
        <v>0</v>
      </c>
      <c r="F94" s="87" t="s">
        <v>85</v>
      </c>
      <c r="G94" s="88" t="s">
        <v>86</v>
      </c>
      <c r="H94" s="77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0" customHeight="1">
      <c r="A95" s="81" t="s">
        <v>102</v>
      </c>
      <c r="B95" s="82" t="s">
        <v>19</v>
      </c>
      <c r="C95" s="92">
        <v>0.0</v>
      </c>
      <c r="D95" s="85">
        <f t="shared" si="25"/>
        <v>0</v>
      </c>
      <c r="E95" s="86">
        <f t="shared" si="26"/>
        <v>0</v>
      </c>
      <c r="F95" s="87" t="s">
        <v>85</v>
      </c>
      <c r="G95" s="88" t="s">
        <v>86</v>
      </c>
      <c r="H95" s="77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0" customHeight="1">
      <c r="A96" s="81" t="s">
        <v>103</v>
      </c>
      <c r="B96" s="82" t="s">
        <v>20</v>
      </c>
      <c r="C96" s="83">
        <v>0.0</v>
      </c>
      <c r="D96" s="85">
        <f t="shared" si="25"/>
        <v>0</v>
      </c>
      <c r="E96" s="86">
        <f t="shared" si="26"/>
        <v>0</v>
      </c>
      <c r="F96" s="87" t="s">
        <v>85</v>
      </c>
      <c r="G96" s="88" t="s">
        <v>86</v>
      </c>
      <c r="H96" s="77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0" customHeight="1">
      <c r="A97" s="81" t="s">
        <v>104</v>
      </c>
      <c r="B97" s="82" t="s">
        <v>19</v>
      </c>
      <c r="C97" s="83">
        <v>0.0</v>
      </c>
      <c r="D97" s="85">
        <f t="shared" si="25"/>
        <v>0</v>
      </c>
      <c r="E97" s="86">
        <f t="shared" si="26"/>
        <v>0</v>
      </c>
      <c r="F97" s="87" t="s">
        <v>89</v>
      </c>
      <c r="G97" s="88" t="s">
        <v>86</v>
      </c>
      <c r="H97" s="77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0" customHeight="1">
      <c r="A98" s="81" t="s">
        <v>105</v>
      </c>
      <c r="B98" s="82" t="s">
        <v>19</v>
      </c>
      <c r="C98" s="83">
        <v>0.0</v>
      </c>
      <c r="D98" s="85">
        <f t="shared" si="25"/>
        <v>0</v>
      </c>
      <c r="E98" s="86">
        <f t="shared" si="26"/>
        <v>0</v>
      </c>
      <c r="F98" s="87" t="s">
        <v>89</v>
      </c>
      <c r="G98" s="88" t="s">
        <v>86</v>
      </c>
      <c r="H98" s="77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0" customHeight="1">
      <c r="A99" s="81"/>
      <c r="B99" s="82" t="s">
        <v>19</v>
      </c>
      <c r="C99" s="92">
        <v>0.0</v>
      </c>
      <c r="D99" s="85">
        <f t="shared" si="25"/>
        <v>0</v>
      </c>
      <c r="E99" s="86">
        <f t="shared" si="26"/>
        <v>0</v>
      </c>
      <c r="F99" s="87" t="s">
        <v>85</v>
      </c>
      <c r="G99" s="88" t="s">
        <v>86</v>
      </c>
      <c r="H99" s="77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0" customHeight="1">
      <c r="A100" s="81"/>
      <c r="B100" s="82" t="s">
        <v>19</v>
      </c>
      <c r="C100" s="92">
        <v>0.0</v>
      </c>
      <c r="D100" s="85">
        <f t="shared" si="25"/>
        <v>0</v>
      </c>
      <c r="E100" s="86">
        <f t="shared" si="26"/>
        <v>0</v>
      </c>
      <c r="F100" s="87" t="s">
        <v>85</v>
      </c>
      <c r="G100" s="88" t="s">
        <v>86</v>
      </c>
      <c r="H100" s="77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0" customHeight="1">
      <c r="A101" s="81"/>
      <c r="B101" s="82" t="s">
        <v>19</v>
      </c>
      <c r="C101" s="92">
        <v>0.0</v>
      </c>
      <c r="D101" s="85">
        <f t="shared" si="25"/>
        <v>0</v>
      </c>
      <c r="E101" s="86">
        <f t="shared" si="26"/>
        <v>0</v>
      </c>
      <c r="F101" s="87" t="s">
        <v>85</v>
      </c>
      <c r="G101" s="88" t="s">
        <v>86</v>
      </c>
      <c r="H101" s="77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0" customHeight="1">
      <c r="A102" s="81"/>
      <c r="B102" s="82" t="s">
        <v>19</v>
      </c>
      <c r="C102" s="92">
        <v>0.0</v>
      </c>
      <c r="D102" s="85">
        <f t="shared" si="25"/>
        <v>0</v>
      </c>
      <c r="E102" s="86">
        <f t="shared" si="26"/>
        <v>0</v>
      </c>
      <c r="F102" s="87" t="s">
        <v>85</v>
      </c>
      <c r="G102" s="88" t="s">
        <v>86</v>
      </c>
      <c r="H102" s="77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0" customHeight="1">
      <c r="A103" s="39" t="s">
        <v>106</v>
      </c>
      <c r="B103" s="40"/>
      <c r="C103" s="40"/>
      <c r="D103" s="42">
        <f t="shared" ref="D103:E103" si="27">SUM(D88:D102)</f>
        <v>0</v>
      </c>
      <c r="E103" s="61">
        <f t="shared" si="27"/>
        <v>0</v>
      </c>
      <c r="F103" s="40"/>
      <c r="G103" s="98"/>
      <c r="H103" s="75"/>
      <c r="I103" s="7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0" customHeight="1">
      <c r="A104" s="99" t="s">
        <v>107</v>
      </c>
      <c r="B104" s="100" t="s">
        <v>108</v>
      </c>
      <c r="C104" s="47">
        <f>SUMPRODUCT((F88:F102="FOB")*D88:D102)</f>
        <v>0</v>
      </c>
      <c r="D104" s="100" t="s">
        <v>109</v>
      </c>
      <c r="E104" s="47">
        <f>SUMPRODUCT((F88:F102="PESO")*D88:D102)</f>
        <v>0</v>
      </c>
      <c r="F104" s="100" t="s">
        <v>110</v>
      </c>
      <c r="G104" s="47">
        <f>C104+E104</f>
        <v>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0" customHeight="1">
      <c r="A105" s="101"/>
      <c r="B105" s="102"/>
      <c r="C105" s="103"/>
      <c r="D105" s="102"/>
      <c r="E105" s="103"/>
      <c r="F105" s="102"/>
      <c r="G105" s="10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15.0" customHeight="1">
      <c r="A106" s="1" t="s">
        <v>111</v>
      </c>
      <c r="B106" s="3"/>
      <c r="C106" s="3"/>
      <c r="D106" s="3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0" customHeight="1">
      <c r="A107" s="13" t="s">
        <v>78</v>
      </c>
      <c r="B107" s="14" t="s">
        <v>64</v>
      </c>
      <c r="C107" s="14" t="s">
        <v>112</v>
      </c>
      <c r="D107" s="14" t="s">
        <v>113</v>
      </c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0" customHeight="1">
      <c r="A108" s="105" t="str">
        <f t="shared" ref="A108:A122" si="28">A88</f>
        <v>Flete</v>
      </c>
      <c r="B108" s="63">
        <v>0.0</v>
      </c>
      <c r="C108" s="85">
        <f t="shared" ref="C108:C122" si="29">IF(B108&gt;0,IF(G88="SI",IF(B88="USD",C88-D88,(C88-E88)/B$86),D88*B108),0)</f>
        <v>0</v>
      </c>
      <c r="D108" s="86">
        <f t="shared" ref="D108:D122" si="30">IF(B108&gt;0,IF(G88="SI",IF(B88="ARS",C88-E88,(C88-D88)*B$86),E88*B108),0)</f>
        <v>0</v>
      </c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0" customHeight="1">
      <c r="A109" s="105" t="str">
        <f t="shared" si="28"/>
        <v>Seguro</v>
      </c>
      <c r="B109" s="63">
        <v>0.21</v>
      </c>
      <c r="C109" s="85">
        <f t="shared" si="29"/>
        <v>0</v>
      </c>
      <c r="D109" s="86">
        <f t="shared" si="30"/>
        <v>0</v>
      </c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0" customHeight="1">
      <c r="A110" s="105" t="str">
        <f t="shared" si="28"/>
        <v>Gastos EXW</v>
      </c>
      <c r="B110" s="63">
        <v>0.0</v>
      </c>
      <c r="C110" s="85">
        <f t="shared" si="29"/>
        <v>0</v>
      </c>
      <c r="D110" s="86">
        <f t="shared" si="30"/>
        <v>0</v>
      </c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0" customHeight="1">
      <c r="A111" s="105" t="str">
        <f t="shared" si="28"/>
        <v>Gastos locales</v>
      </c>
      <c r="B111" s="63">
        <v>0.21</v>
      </c>
      <c r="C111" s="85">
        <f t="shared" si="29"/>
        <v>0</v>
      </c>
      <c r="D111" s="86">
        <f t="shared" si="30"/>
        <v>0</v>
      </c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0" customHeight="1">
      <c r="A112" s="105" t="str">
        <f t="shared" si="28"/>
        <v>Terminal portuaria</v>
      </c>
      <c r="B112" s="63">
        <v>0.21</v>
      </c>
      <c r="C112" s="85">
        <f t="shared" si="29"/>
        <v>0</v>
      </c>
      <c r="D112" s="86">
        <f t="shared" si="30"/>
        <v>0</v>
      </c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0" customHeight="1">
      <c r="A113" s="105" t="str">
        <f t="shared" si="28"/>
        <v>Depósito fiscal</v>
      </c>
      <c r="B113" s="63">
        <v>0.21</v>
      </c>
      <c r="C113" s="85">
        <f t="shared" si="29"/>
        <v>0</v>
      </c>
      <c r="D113" s="86">
        <f t="shared" si="30"/>
        <v>0</v>
      </c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0" customHeight="1">
      <c r="A114" s="105" t="str">
        <f t="shared" si="28"/>
        <v>Gastos adicionales </v>
      </c>
      <c r="B114" s="63">
        <v>0.21</v>
      </c>
      <c r="C114" s="85">
        <f t="shared" si="29"/>
        <v>0</v>
      </c>
      <c r="D114" s="86">
        <f t="shared" si="30"/>
        <v>0</v>
      </c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0" customHeight="1">
      <c r="A115" s="105" t="str">
        <f t="shared" si="28"/>
        <v>Gestiones terceros organismos</v>
      </c>
      <c r="B115" s="63">
        <v>0.21</v>
      </c>
      <c r="C115" s="85">
        <f t="shared" si="29"/>
        <v>0</v>
      </c>
      <c r="D115" s="86">
        <f t="shared" si="30"/>
        <v>0</v>
      </c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0" customHeight="1">
      <c r="A116" s="105" t="str">
        <f t="shared" si="28"/>
        <v>Traslado interno (en ARS)</v>
      </c>
      <c r="B116" s="63">
        <v>0.21</v>
      </c>
      <c r="C116" s="85">
        <f t="shared" si="29"/>
        <v>0</v>
      </c>
      <c r="D116" s="86">
        <f t="shared" si="30"/>
        <v>0</v>
      </c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0" customHeight="1">
      <c r="A117" s="105" t="str">
        <f t="shared" si="28"/>
        <v>Honorarios despachante </v>
      </c>
      <c r="B117" s="63">
        <v>0.21</v>
      </c>
      <c r="C117" s="85">
        <f t="shared" si="29"/>
        <v>0</v>
      </c>
      <c r="D117" s="86">
        <f t="shared" si="30"/>
        <v>0</v>
      </c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0" customHeight="1">
      <c r="A118" s="105" t="str">
        <f t="shared" si="28"/>
        <v>Honorarios consultora</v>
      </c>
      <c r="B118" s="63">
        <v>0.21</v>
      </c>
      <c r="C118" s="85">
        <f t="shared" si="29"/>
        <v>0</v>
      </c>
      <c r="D118" s="86">
        <f t="shared" si="30"/>
        <v>0</v>
      </c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0" customHeight="1">
      <c r="A119" s="105" t="str">
        <f t="shared" si="28"/>
        <v/>
      </c>
      <c r="B119" s="63">
        <v>0.21</v>
      </c>
      <c r="C119" s="85">
        <f t="shared" si="29"/>
        <v>0</v>
      </c>
      <c r="D119" s="86">
        <f t="shared" si="30"/>
        <v>0</v>
      </c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0" customHeight="1">
      <c r="A120" s="105" t="str">
        <f t="shared" si="28"/>
        <v/>
      </c>
      <c r="B120" s="63">
        <v>0.21</v>
      </c>
      <c r="C120" s="85">
        <f t="shared" si="29"/>
        <v>0</v>
      </c>
      <c r="D120" s="86">
        <f t="shared" si="30"/>
        <v>0</v>
      </c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0" customHeight="1">
      <c r="A121" s="105" t="str">
        <f t="shared" si="28"/>
        <v/>
      </c>
      <c r="B121" s="63">
        <v>0.21</v>
      </c>
      <c r="C121" s="85">
        <f t="shared" si="29"/>
        <v>0</v>
      </c>
      <c r="D121" s="86">
        <f t="shared" si="30"/>
        <v>0</v>
      </c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0" customHeight="1">
      <c r="A122" s="105" t="str">
        <f t="shared" si="28"/>
        <v/>
      </c>
      <c r="B122" s="63">
        <v>0.21</v>
      </c>
      <c r="C122" s="85">
        <f t="shared" si="29"/>
        <v>0</v>
      </c>
      <c r="D122" s="107">
        <f t="shared" si="30"/>
        <v>0</v>
      </c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0" customHeight="1">
      <c r="A123" s="39" t="s">
        <v>116</v>
      </c>
      <c r="B123" s="40"/>
      <c r="C123" s="42">
        <f t="shared" ref="C123:D123" si="31">SUM(C108:C122)</f>
        <v>0</v>
      </c>
      <c r="D123" s="108">
        <f t="shared" si="31"/>
        <v>0</v>
      </c>
      <c r="E123" s="109"/>
      <c r="F123" s="109"/>
      <c r="G123" s="109"/>
      <c r="H123" s="109"/>
      <c r="I123" s="109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0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0" customHeight="1">
      <c r="A125" s="1" t="s">
        <v>117</v>
      </c>
      <c r="B125" s="110"/>
      <c r="C125" s="110"/>
      <c r="D125" s="111"/>
      <c r="E125" s="54"/>
      <c r="F125" s="54"/>
      <c r="G125" s="54"/>
      <c r="H125" s="54"/>
      <c r="I125" s="54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0" customHeight="1">
      <c r="A126" s="65" t="s">
        <v>118</v>
      </c>
      <c r="B126" s="66">
        <f>E33+E34+B82+D103+C123</f>
        <v>10</v>
      </c>
      <c r="C126" s="67">
        <f>(E33+E34)*B$86+C82+E103+D123</f>
        <v>15100</v>
      </c>
      <c r="D126" s="113"/>
      <c r="E126" s="114"/>
      <c r="F126" s="114"/>
      <c r="G126" s="114"/>
      <c r="H126" s="114"/>
      <c r="I126" s="114"/>
      <c r="J126" s="115"/>
      <c r="K126" s="11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0" customHeight="1">
      <c r="A127" s="57" t="s">
        <v>122</v>
      </c>
      <c r="B127" s="116">
        <f>B126-D80-F80-H80-J80-C123</f>
        <v>10</v>
      </c>
      <c r="C127" s="117">
        <f>C126-D80*B$37-F80*B$37-H80*B$37-J80*B$37-D123</f>
        <v>15100</v>
      </c>
      <c r="D127" s="118"/>
      <c r="E127" s="54"/>
      <c r="F127" s="54"/>
      <c r="G127" s="54"/>
      <c r="H127" s="54"/>
      <c r="I127" s="54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0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0" customHeight="1">
      <c r="A129" s="74"/>
      <c r="B129" s="119"/>
      <c r="C129" s="119"/>
      <c r="D129" s="119"/>
      <c r="E129" s="119"/>
      <c r="F129" s="119"/>
      <c r="G129" s="119"/>
      <c r="H129" s="119"/>
      <c r="I129" s="77"/>
      <c r="J129" s="77"/>
      <c r="K129" s="77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0" customHeight="1">
      <c r="A130" s="74"/>
      <c r="B130" s="119"/>
      <c r="C130" s="119"/>
      <c r="D130" s="119"/>
      <c r="E130" s="119"/>
      <c r="F130" s="119"/>
      <c r="G130" s="119"/>
      <c r="H130" s="119"/>
      <c r="I130" s="77"/>
      <c r="J130" s="77"/>
      <c r="K130" s="77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0" customHeight="1">
      <c r="A131" s="74"/>
      <c r="B131" s="119"/>
      <c r="C131" s="119"/>
      <c r="D131" s="119"/>
      <c r="E131" s="119"/>
      <c r="F131" s="119"/>
      <c r="G131" s="119"/>
      <c r="H131" s="74"/>
      <c r="I131" s="77"/>
      <c r="J131" s="77"/>
      <c r="K131" s="77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0" customHeight="1">
      <c r="A132" s="74"/>
      <c r="B132" s="119"/>
      <c r="C132" s="119"/>
      <c r="D132" s="119"/>
      <c r="E132" s="119"/>
      <c r="F132" s="119"/>
      <c r="G132" s="119"/>
      <c r="H132" s="74"/>
      <c r="I132" s="77"/>
      <c r="J132" s="77"/>
      <c r="K132" s="77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0" customHeight="1">
      <c r="A133" s="74"/>
      <c r="B133" s="119"/>
      <c r="C133" s="119"/>
      <c r="D133" s="119"/>
      <c r="E133" s="119"/>
      <c r="F133" s="119"/>
      <c r="G133" s="119"/>
      <c r="H133" s="74"/>
      <c r="I133" s="77"/>
      <c r="J133" s="77"/>
      <c r="K133" s="77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0" customHeight="1">
      <c r="A134" s="74"/>
      <c r="B134" s="119"/>
      <c r="C134" s="119"/>
      <c r="D134" s="119"/>
      <c r="E134" s="119"/>
      <c r="F134" s="119"/>
      <c r="G134" s="119"/>
      <c r="H134" s="74"/>
      <c r="I134" s="77"/>
      <c r="J134" s="77"/>
      <c r="K134" s="77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0" customHeight="1">
      <c r="A135" s="74"/>
      <c r="B135" s="119"/>
      <c r="C135" s="119"/>
      <c r="D135" s="119"/>
      <c r="E135" s="119"/>
      <c r="F135" s="119"/>
      <c r="G135" s="119"/>
      <c r="H135" s="74"/>
      <c r="I135" s="77"/>
      <c r="J135" s="77"/>
      <c r="K135" s="77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0" customHeight="1">
      <c r="A136" s="74"/>
      <c r="B136" s="119"/>
      <c r="C136" s="119"/>
      <c r="D136" s="119"/>
      <c r="E136" s="119"/>
      <c r="F136" s="119"/>
      <c r="G136" s="119"/>
      <c r="H136" s="74"/>
      <c r="I136" s="77"/>
      <c r="J136" s="77"/>
      <c r="K136" s="77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0" customHeight="1">
      <c r="A137" s="74"/>
      <c r="B137" s="119"/>
      <c r="C137" s="119"/>
      <c r="D137" s="119"/>
      <c r="E137" s="119"/>
      <c r="F137" s="119"/>
      <c r="G137" s="119"/>
      <c r="H137" s="74"/>
      <c r="I137" s="77"/>
      <c r="J137" s="77"/>
      <c r="K137" s="77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0" customHeight="1">
      <c r="A138" s="74"/>
      <c r="B138" s="119"/>
      <c r="C138" s="119"/>
      <c r="D138" s="119"/>
      <c r="E138" s="119"/>
      <c r="F138" s="119"/>
      <c r="G138" s="119"/>
      <c r="H138" s="74"/>
      <c r="I138" s="77"/>
      <c r="J138" s="77"/>
      <c r="K138" s="77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0" customHeight="1">
      <c r="A139" s="74"/>
      <c r="B139" s="119"/>
      <c r="C139" s="119"/>
      <c r="D139" s="119"/>
      <c r="E139" s="119"/>
      <c r="F139" s="119"/>
      <c r="G139" s="119"/>
      <c r="H139" s="74"/>
      <c r="I139" s="77"/>
      <c r="J139" s="77"/>
      <c r="K139" s="77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0" customHeight="1">
      <c r="A140" s="74"/>
      <c r="B140" s="119"/>
      <c r="C140" s="119"/>
      <c r="D140" s="119"/>
      <c r="E140" s="119"/>
      <c r="F140" s="119"/>
      <c r="G140" s="119"/>
      <c r="H140" s="74"/>
      <c r="I140" s="77"/>
      <c r="J140" s="77"/>
      <c r="K140" s="77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0" customHeight="1">
      <c r="A141" s="74"/>
      <c r="B141" s="119"/>
      <c r="C141" s="119"/>
      <c r="D141" s="119"/>
      <c r="E141" s="119"/>
      <c r="F141" s="119"/>
      <c r="G141" s="119"/>
      <c r="H141" s="74"/>
      <c r="I141" s="77"/>
      <c r="J141" s="77"/>
      <c r="K141" s="77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0" customHeight="1">
      <c r="A142" s="74"/>
      <c r="B142" s="119"/>
      <c r="C142" s="119"/>
      <c r="D142" s="119"/>
      <c r="E142" s="119"/>
      <c r="F142" s="119"/>
      <c r="G142" s="119"/>
      <c r="H142" s="74"/>
      <c r="I142" s="77"/>
      <c r="J142" s="77"/>
      <c r="K142" s="77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0" customHeight="1">
      <c r="A143" s="74"/>
      <c r="B143" s="119"/>
      <c r="C143" s="119"/>
      <c r="D143" s="119"/>
      <c r="E143" s="119"/>
      <c r="F143" s="119"/>
      <c r="G143" s="119"/>
      <c r="H143" s="74"/>
      <c r="I143" s="77"/>
      <c r="J143" s="77"/>
      <c r="K143" s="77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0" customHeight="1">
      <c r="A144" s="74"/>
      <c r="B144" s="119"/>
      <c r="C144" s="119"/>
      <c r="D144" s="119"/>
      <c r="E144" s="119"/>
      <c r="F144" s="119"/>
      <c r="G144" s="119"/>
      <c r="H144" s="74"/>
      <c r="I144" s="77"/>
      <c r="J144" s="77"/>
      <c r="K144" s="77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0" customHeight="1">
      <c r="A145" s="74"/>
      <c r="B145" s="119"/>
      <c r="C145" s="119"/>
      <c r="D145" s="119"/>
      <c r="E145" s="119"/>
      <c r="F145" s="119"/>
      <c r="G145" s="119"/>
      <c r="H145" s="74"/>
      <c r="I145" s="77"/>
      <c r="J145" s="77"/>
      <c r="K145" s="77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0" customHeight="1">
      <c r="A146" s="74"/>
      <c r="B146" s="77"/>
      <c r="C146" s="77"/>
      <c r="D146" s="119"/>
      <c r="E146" s="77"/>
      <c r="F146" s="77"/>
      <c r="G146" s="77"/>
      <c r="H146" s="77"/>
      <c r="I146" s="77"/>
      <c r="J146" s="77"/>
      <c r="K146" s="77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0" customHeight="1">
      <c r="A147" s="74"/>
      <c r="B147" s="119"/>
      <c r="C147" s="77"/>
      <c r="D147" s="77"/>
      <c r="E147" s="77"/>
      <c r="F147" s="77"/>
      <c r="G147" s="77"/>
      <c r="H147" s="77"/>
      <c r="I147" s="77"/>
      <c r="J147" s="77"/>
      <c r="K147" s="77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0" customHeight="1">
      <c r="A148" s="77"/>
      <c r="B148" s="77"/>
      <c r="C148" s="77"/>
      <c r="D148" s="77"/>
      <c r="E148" s="77"/>
      <c r="F148" s="77"/>
      <c r="G148" s="77"/>
      <c r="H148" s="77"/>
      <c r="I148" s="77"/>
      <c r="J148" s="77"/>
      <c r="K148" s="77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0" customHeight="1">
      <c r="A149" s="74"/>
      <c r="B149" s="77"/>
      <c r="C149" s="77"/>
      <c r="D149" s="77"/>
      <c r="E149" s="77"/>
      <c r="F149" s="77"/>
      <c r="G149" s="77"/>
      <c r="H149" s="77"/>
      <c r="I149" s="77"/>
      <c r="J149" s="77"/>
      <c r="K149" s="77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0" customHeight="1">
      <c r="A150" s="121"/>
      <c r="B150" s="121"/>
      <c r="C150" s="121"/>
      <c r="D150" s="121"/>
      <c r="E150" s="121"/>
      <c r="F150" s="121"/>
      <c r="G150" s="121"/>
      <c r="H150" s="121"/>
      <c r="I150" s="121"/>
      <c r="J150" s="77"/>
      <c r="K150" s="77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0" customHeight="1">
      <c r="A151" s="74"/>
      <c r="B151" s="119"/>
      <c r="C151" s="119"/>
      <c r="D151" s="119"/>
      <c r="E151" s="119"/>
      <c r="F151" s="119"/>
      <c r="G151" s="119"/>
      <c r="H151" s="119"/>
      <c r="I151" s="119"/>
      <c r="J151" s="77"/>
      <c r="K151" s="77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0" customHeight="1">
      <c r="A152" s="74"/>
      <c r="B152" s="119"/>
      <c r="C152" s="119"/>
      <c r="D152" s="119"/>
      <c r="E152" s="119"/>
      <c r="F152" s="119"/>
      <c r="G152" s="119"/>
      <c r="H152" s="119"/>
      <c r="I152" s="119"/>
      <c r="J152" s="77"/>
      <c r="K152" s="77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0" customHeight="1">
      <c r="A153" s="74"/>
      <c r="B153" s="119"/>
      <c r="C153" s="119"/>
      <c r="D153" s="119"/>
      <c r="E153" s="119"/>
      <c r="F153" s="119"/>
      <c r="G153" s="119"/>
      <c r="H153" s="119"/>
      <c r="I153" s="119"/>
      <c r="J153" s="77"/>
      <c r="K153" s="77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0" customHeight="1">
      <c r="A154" s="74"/>
      <c r="B154" s="119"/>
      <c r="C154" s="119"/>
      <c r="D154" s="119"/>
      <c r="E154" s="119"/>
      <c r="F154" s="119"/>
      <c r="G154" s="119"/>
      <c r="H154" s="119"/>
      <c r="I154" s="119"/>
      <c r="J154" s="77"/>
      <c r="K154" s="77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0" customHeight="1">
      <c r="A155" s="74"/>
      <c r="B155" s="119"/>
      <c r="C155" s="119"/>
      <c r="D155" s="119"/>
      <c r="E155" s="119"/>
      <c r="F155" s="119"/>
      <c r="G155" s="119"/>
      <c r="H155" s="119"/>
      <c r="I155" s="119"/>
      <c r="J155" s="77"/>
      <c r="K155" s="77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0" customHeight="1">
      <c r="A156" s="74"/>
      <c r="B156" s="119"/>
      <c r="C156" s="119"/>
      <c r="D156" s="119"/>
      <c r="E156" s="119"/>
      <c r="F156" s="119"/>
      <c r="G156" s="119"/>
      <c r="H156" s="119"/>
      <c r="I156" s="119"/>
      <c r="J156" s="77"/>
      <c r="K156" s="77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0" customHeight="1">
      <c r="A157" s="74"/>
      <c r="B157" s="119"/>
      <c r="C157" s="119"/>
      <c r="D157" s="119"/>
      <c r="E157" s="119"/>
      <c r="F157" s="119"/>
      <c r="G157" s="119"/>
      <c r="H157" s="119"/>
      <c r="I157" s="119"/>
      <c r="J157" s="77"/>
      <c r="K157" s="77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0" customHeight="1">
      <c r="A158" s="74"/>
      <c r="B158" s="119"/>
      <c r="C158" s="119"/>
      <c r="D158" s="119"/>
      <c r="E158" s="119"/>
      <c r="F158" s="119"/>
      <c r="G158" s="119"/>
      <c r="H158" s="119"/>
      <c r="I158" s="119"/>
      <c r="J158" s="77"/>
      <c r="K158" s="77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0" customHeight="1">
      <c r="A159" s="74"/>
      <c r="B159" s="119"/>
      <c r="C159" s="119"/>
      <c r="D159" s="119"/>
      <c r="E159" s="119"/>
      <c r="F159" s="119"/>
      <c r="G159" s="119"/>
      <c r="H159" s="119"/>
      <c r="I159" s="119"/>
      <c r="J159" s="77"/>
      <c r="K159" s="77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0" customHeight="1">
      <c r="A160" s="74"/>
      <c r="B160" s="119"/>
      <c r="C160" s="119"/>
      <c r="D160" s="119"/>
      <c r="E160" s="119"/>
      <c r="F160" s="119"/>
      <c r="G160" s="119"/>
      <c r="H160" s="119"/>
      <c r="I160" s="119"/>
      <c r="J160" s="77"/>
      <c r="K160" s="77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0" customHeight="1">
      <c r="A161" s="74"/>
      <c r="B161" s="119"/>
      <c r="C161" s="119"/>
      <c r="D161" s="119"/>
      <c r="E161" s="119"/>
      <c r="F161" s="119"/>
      <c r="G161" s="119"/>
      <c r="H161" s="119"/>
      <c r="I161" s="119"/>
      <c r="J161" s="77"/>
      <c r="K161" s="77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0" customHeight="1">
      <c r="A162" s="74"/>
      <c r="B162" s="119"/>
      <c r="C162" s="119"/>
      <c r="D162" s="119"/>
      <c r="E162" s="119"/>
      <c r="F162" s="119"/>
      <c r="G162" s="119"/>
      <c r="H162" s="119"/>
      <c r="I162" s="119"/>
      <c r="J162" s="77"/>
      <c r="K162" s="77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0" customHeight="1">
      <c r="A163" s="74"/>
      <c r="B163" s="119"/>
      <c r="C163" s="119"/>
      <c r="D163" s="119"/>
      <c r="E163" s="119"/>
      <c r="F163" s="119"/>
      <c r="G163" s="119"/>
      <c r="H163" s="119"/>
      <c r="I163" s="119"/>
      <c r="J163" s="77"/>
      <c r="K163" s="77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0" customHeight="1">
      <c r="A164" s="74"/>
      <c r="B164" s="119"/>
      <c r="C164" s="119"/>
      <c r="D164" s="119"/>
      <c r="E164" s="119"/>
      <c r="F164" s="119"/>
      <c r="G164" s="119"/>
      <c r="H164" s="119"/>
      <c r="I164" s="119"/>
      <c r="J164" s="77"/>
      <c r="K164" s="77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0" customHeight="1">
      <c r="A165" s="74"/>
      <c r="B165" s="119"/>
      <c r="C165" s="119"/>
      <c r="D165" s="119"/>
      <c r="E165" s="119"/>
      <c r="F165" s="119"/>
      <c r="G165" s="119"/>
      <c r="H165" s="119"/>
      <c r="I165" s="119"/>
      <c r="J165" s="77"/>
      <c r="K165" s="77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0" customHeight="1">
      <c r="A166" s="77"/>
      <c r="B166" s="77"/>
      <c r="C166" s="77"/>
      <c r="D166" s="77"/>
      <c r="E166" s="77"/>
      <c r="F166" s="77"/>
      <c r="G166" s="77"/>
      <c r="H166" s="77"/>
      <c r="I166" s="77"/>
      <c r="J166" s="77"/>
      <c r="K166" s="77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0" customHeight="1">
      <c r="A167" s="74"/>
      <c r="B167" s="77"/>
      <c r="C167" s="77"/>
      <c r="D167" s="77"/>
      <c r="E167" s="77"/>
      <c r="F167" s="77"/>
      <c r="G167" s="77"/>
      <c r="H167" s="77"/>
      <c r="I167" s="77"/>
      <c r="J167" s="77"/>
      <c r="K167" s="77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0" customHeight="1">
      <c r="A168" s="74"/>
      <c r="B168" s="119"/>
      <c r="C168" s="77"/>
      <c r="D168" s="77"/>
      <c r="E168" s="77"/>
      <c r="F168" s="77"/>
      <c r="G168" s="77"/>
      <c r="H168" s="77"/>
      <c r="I168" s="77"/>
      <c r="J168" s="77"/>
      <c r="K168" s="77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0" customHeight="1">
      <c r="A169" s="121"/>
      <c r="B169" s="121"/>
      <c r="C169" s="121"/>
      <c r="D169" s="121"/>
      <c r="E169" s="121"/>
      <c r="F169" s="121"/>
      <c r="G169" s="121"/>
      <c r="H169" s="121"/>
      <c r="I169" s="121"/>
      <c r="J169" s="77"/>
      <c r="K169" s="77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0" customHeight="1">
      <c r="A170" s="74"/>
      <c r="B170" s="119"/>
      <c r="C170" s="119"/>
      <c r="D170" s="119"/>
      <c r="E170" s="119"/>
      <c r="F170" s="119"/>
      <c r="G170" s="119"/>
      <c r="H170" s="119"/>
      <c r="I170" s="119"/>
      <c r="J170" s="77"/>
      <c r="K170" s="77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0" customHeight="1">
      <c r="A171" s="74"/>
      <c r="B171" s="119"/>
      <c r="C171" s="119"/>
      <c r="D171" s="119"/>
      <c r="E171" s="119"/>
      <c r="F171" s="119"/>
      <c r="G171" s="119"/>
      <c r="H171" s="119"/>
      <c r="I171" s="119"/>
      <c r="J171" s="77"/>
      <c r="K171" s="77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0" customHeight="1">
      <c r="A172" s="74"/>
      <c r="B172" s="119"/>
      <c r="C172" s="119"/>
      <c r="D172" s="119"/>
      <c r="E172" s="119"/>
      <c r="F172" s="119"/>
      <c r="G172" s="119"/>
      <c r="H172" s="119"/>
      <c r="I172" s="119"/>
      <c r="J172" s="77"/>
      <c r="K172" s="77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0" customHeight="1">
      <c r="A173" s="74"/>
      <c r="B173" s="119"/>
      <c r="C173" s="119"/>
      <c r="D173" s="119"/>
      <c r="E173" s="119"/>
      <c r="F173" s="119"/>
      <c r="G173" s="119"/>
      <c r="H173" s="119"/>
      <c r="I173" s="119"/>
      <c r="J173" s="77"/>
      <c r="K173" s="77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0" customHeight="1">
      <c r="A174" s="74"/>
      <c r="B174" s="119"/>
      <c r="C174" s="119"/>
      <c r="D174" s="119"/>
      <c r="E174" s="119"/>
      <c r="F174" s="119"/>
      <c r="G174" s="119"/>
      <c r="H174" s="119"/>
      <c r="I174" s="119"/>
      <c r="J174" s="77"/>
      <c r="K174" s="77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0" customHeight="1">
      <c r="A175" s="74"/>
      <c r="B175" s="119"/>
      <c r="C175" s="119"/>
      <c r="D175" s="119"/>
      <c r="E175" s="119"/>
      <c r="F175" s="119"/>
      <c r="G175" s="119"/>
      <c r="H175" s="119"/>
      <c r="I175" s="119"/>
      <c r="J175" s="77"/>
      <c r="K175" s="77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0" customHeight="1">
      <c r="A176" s="74"/>
      <c r="B176" s="119"/>
      <c r="C176" s="119"/>
      <c r="D176" s="119"/>
      <c r="E176" s="119"/>
      <c r="F176" s="119"/>
      <c r="G176" s="119"/>
      <c r="H176" s="119"/>
      <c r="I176" s="119"/>
      <c r="J176" s="77"/>
      <c r="K176" s="77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0" customHeight="1">
      <c r="A177" s="74"/>
      <c r="B177" s="119"/>
      <c r="C177" s="119"/>
      <c r="D177" s="119"/>
      <c r="E177" s="119"/>
      <c r="F177" s="119"/>
      <c r="G177" s="119"/>
      <c r="H177" s="119"/>
      <c r="I177" s="119"/>
      <c r="J177" s="77"/>
      <c r="K177" s="77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0" customHeight="1">
      <c r="A178" s="74"/>
      <c r="B178" s="119"/>
      <c r="C178" s="119"/>
      <c r="D178" s="119"/>
      <c r="E178" s="119"/>
      <c r="F178" s="119"/>
      <c r="G178" s="119"/>
      <c r="H178" s="119"/>
      <c r="I178" s="119"/>
      <c r="J178" s="77"/>
      <c r="K178" s="77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0" customHeight="1">
      <c r="A179" s="74"/>
      <c r="B179" s="119"/>
      <c r="C179" s="119"/>
      <c r="D179" s="119"/>
      <c r="E179" s="119"/>
      <c r="F179" s="119"/>
      <c r="G179" s="119"/>
      <c r="H179" s="119"/>
      <c r="I179" s="119"/>
      <c r="J179" s="77"/>
      <c r="K179" s="77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0" customHeight="1">
      <c r="A180" s="74"/>
      <c r="B180" s="119"/>
      <c r="C180" s="119"/>
      <c r="D180" s="119"/>
      <c r="E180" s="119"/>
      <c r="F180" s="119"/>
      <c r="G180" s="119"/>
      <c r="H180" s="119"/>
      <c r="I180" s="119"/>
      <c r="J180" s="77"/>
      <c r="K180" s="77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0" customHeight="1">
      <c r="A181" s="74"/>
      <c r="B181" s="119"/>
      <c r="C181" s="119"/>
      <c r="D181" s="119"/>
      <c r="E181" s="119"/>
      <c r="F181" s="119"/>
      <c r="G181" s="119"/>
      <c r="H181" s="119"/>
      <c r="I181" s="119"/>
      <c r="J181" s="77"/>
      <c r="K181" s="77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0" customHeight="1">
      <c r="A182" s="74"/>
      <c r="B182" s="119"/>
      <c r="C182" s="119"/>
      <c r="D182" s="119"/>
      <c r="E182" s="119"/>
      <c r="F182" s="119"/>
      <c r="G182" s="119"/>
      <c r="H182" s="119"/>
      <c r="I182" s="119"/>
      <c r="J182" s="77"/>
      <c r="K182" s="77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0" customHeight="1">
      <c r="A183" s="74"/>
      <c r="B183" s="119"/>
      <c r="C183" s="119"/>
      <c r="D183" s="119"/>
      <c r="E183" s="119"/>
      <c r="F183" s="119"/>
      <c r="G183" s="119"/>
      <c r="H183" s="119"/>
      <c r="I183" s="119"/>
      <c r="J183" s="77"/>
      <c r="K183" s="77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0" customHeight="1">
      <c r="A184" s="74"/>
      <c r="B184" s="119"/>
      <c r="C184" s="119"/>
      <c r="D184" s="119"/>
      <c r="E184" s="119"/>
      <c r="F184" s="119"/>
      <c r="G184" s="119"/>
      <c r="H184" s="119"/>
      <c r="I184" s="119"/>
      <c r="J184" s="77"/>
      <c r="K184" s="77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0" customHeight="1">
      <c r="A185" s="77"/>
      <c r="B185" s="77"/>
      <c r="C185" s="77"/>
      <c r="D185" s="77"/>
      <c r="E185" s="77"/>
      <c r="F185" s="77"/>
      <c r="G185" s="77"/>
      <c r="H185" s="77"/>
      <c r="I185" s="77"/>
      <c r="J185" s="77"/>
      <c r="K185" s="77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0" customHeight="1">
      <c r="A186" s="74"/>
      <c r="B186" s="77"/>
      <c r="C186" s="77"/>
      <c r="D186" s="77"/>
      <c r="E186" s="77"/>
      <c r="F186" s="77"/>
      <c r="G186" s="77"/>
      <c r="H186" s="77"/>
      <c r="I186" s="77"/>
      <c r="J186" s="77"/>
      <c r="K186" s="77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0" customHeight="1">
      <c r="A187" s="121"/>
      <c r="B187" s="121"/>
      <c r="C187" s="121"/>
      <c r="D187" s="77"/>
      <c r="E187" s="77"/>
      <c r="F187" s="77"/>
      <c r="G187" s="77"/>
      <c r="H187" s="77"/>
      <c r="I187" s="77"/>
      <c r="J187" s="77"/>
      <c r="K187" s="77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0" customHeight="1">
      <c r="A188" s="74"/>
      <c r="B188" s="119"/>
      <c r="C188" s="119"/>
      <c r="D188" s="77"/>
      <c r="E188" s="77"/>
      <c r="F188" s="77"/>
      <c r="G188" s="77"/>
      <c r="H188" s="77"/>
      <c r="I188" s="77"/>
      <c r="J188" s="77"/>
      <c r="K188" s="77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0" customHeight="1">
      <c r="A189" s="74"/>
      <c r="B189" s="119"/>
      <c r="C189" s="119"/>
      <c r="D189" s="77"/>
      <c r="E189" s="77"/>
      <c r="F189" s="77"/>
      <c r="G189" s="77"/>
      <c r="H189" s="77"/>
      <c r="I189" s="77"/>
      <c r="J189" s="77"/>
      <c r="K189" s="77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0" customHeight="1">
      <c r="A190" s="74"/>
      <c r="B190" s="119"/>
      <c r="C190" s="119"/>
      <c r="D190" s="77"/>
      <c r="E190" s="77"/>
      <c r="F190" s="77"/>
      <c r="G190" s="77"/>
      <c r="H190" s="77"/>
      <c r="I190" s="77"/>
      <c r="J190" s="77"/>
      <c r="K190" s="77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0" customHeight="1">
      <c r="A191" s="74"/>
      <c r="B191" s="119"/>
      <c r="C191" s="119"/>
      <c r="D191" s="77"/>
      <c r="E191" s="77"/>
      <c r="F191" s="77"/>
      <c r="G191" s="77"/>
      <c r="H191" s="77"/>
      <c r="I191" s="77"/>
      <c r="J191" s="77"/>
      <c r="K191" s="77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0" customHeight="1">
      <c r="A192" s="74"/>
      <c r="B192" s="119"/>
      <c r="C192" s="119"/>
      <c r="D192" s="77"/>
      <c r="E192" s="77"/>
      <c r="F192" s="77"/>
      <c r="G192" s="77"/>
      <c r="H192" s="77"/>
      <c r="I192" s="77"/>
      <c r="J192" s="77"/>
      <c r="K192" s="77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0" customHeight="1">
      <c r="A193" s="74"/>
      <c r="B193" s="119"/>
      <c r="C193" s="119"/>
      <c r="D193" s="77"/>
      <c r="E193" s="77"/>
      <c r="F193" s="77"/>
      <c r="G193" s="77"/>
      <c r="H193" s="77"/>
      <c r="I193" s="77"/>
      <c r="J193" s="77"/>
      <c r="K193" s="77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0" customHeight="1">
      <c r="A194" s="77"/>
      <c r="B194" s="77"/>
      <c r="C194" s="77"/>
      <c r="D194" s="77"/>
      <c r="E194" s="77"/>
      <c r="F194" s="77"/>
      <c r="G194" s="77"/>
      <c r="H194" s="77"/>
      <c r="I194" s="77"/>
      <c r="J194" s="77"/>
      <c r="K194" s="77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0" customHeight="1">
      <c r="A195" s="74"/>
      <c r="B195" s="77"/>
      <c r="C195" s="77"/>
      <c r="D195" s="77"/>
      <c r="E195" s="77"/>
      <c r="F195" s="77"/>
      <c r="G195" s="77"/>
      <c r="H195" s="77"/>
      <c r="I195" s="77"/>
      <c r="J195" s="77"/>
      <c r="K195" s="77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0" customHeight="1">
      <c r="A196" s="121"/>
      <c r="B196" s="121"/>
      <c r="C196" s="121"/>
      <c r="D196" s="77"/>
      <c r="E196" s="77"/>
      <c r="F196" s="77"/>
      <c r="G196" s="77"/>
      <c r="H196" s="77"/>
      <c r="I196" s="77"/>
      <c r="J196" s="77"/>
      <c r="K196" s="77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0" customHeight="1">
      <c r="A197" s="74"/>
      <c r="B197" s="119"/>
      <c r="C197" s="119"/>
      <c r="D197" s="77"/>
      <c r="E197" s="77"/>
      <c r="F197" s="77"/>
      <c r="G197" s="77"/>
      <c r="H197" s="77"/>
      <c r="I197" s="77"/>
      <c r="J197" s="77"/>
      <c r="K197" s="77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0" customHeight="1">
      <c r="A198" s="74"/>
      <c r="B198" s="119"/>
      <c r="C198" s="119"/>
      <c r="D198" s="77"/>
      <c r="E198" s="77"/>
      <c r="F198" s="77"/>
      <c r="G198" s="77"/>
      <c r="H198" s="77"/>
      <c r="I198" s="77"/>
      <c r="J198" s="77"/>
      <c r="K198" s="77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0" customHeight="1">
      <c r="A199" s="74"/>
      <c r="B199" s="119"/>
      <c r="C199" s="119"/>
      <c r="D199" s="77"/>
      <c r="E199" s="77"/>
      <c r="F199" s="77"/>
      <c r="G199" s="77"/>
      <c r="H199" s="77"/>
      <c r="I199" s="77"/>
      <c r="J199" s="77"/>
      <c r="K199" s="77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0" customHeight="1">
      <c r="A200" s="74"/>
      <c r="B200" s="119"/>
      <c r="C200" s="119"/>
      <c r="D200" s="77"/>
      <c r="E200" s="77"/>
      <c r="F200" s="77"/>
      <c r="G200" s="77"/>
      <c r="H200" s="77"/>
      <c r="I200" s="77"/>
      <c r="J200" s="77"/>
      <c r="K200" s="77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0" customHeight="1">
      <c r="A201" s="74"/>
      <c r="B201" s="119"/>
      <c r="C201" s="119"/>
      <c r="D201" s="77"/>
      <c r="E201" s="77"/>
      <c r="F201" s="77"/>
      <c r="G201" s="77"/>
      <c r="H201" s="77"/>
      <c r="I201" s="77"/>
      <c r="J201" s="77"/>
      <c r="K201" s="77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0" customHeight="1">
      <c r="A202" s="74"/>
      <c r="B202" s="119"/>
      <c r="C202" s="119"/>
      <c r="D202" s="77"/>
      <c r="E202" s="77"/>
      <c r="F202" s="77"/>
      <c r="G202" s="77"/>
      <c r="H202" s="77"/>
      <c r="I202" s="77"/>
      <c r="J202" s="77"/>
      <c r="K202" s="77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77"/>
      <c r="B203" s="77"/>
      <c r="C203" s="77"/>
      <c r="D203" s="77"/>
      <c r="E203" s="77"/>
      <c r="F203" s="77"/>
      <c r="G203" s="77"/>
      <c r="H203" s="77"/>
      <c r="I203" s="77"/>
      <c r="J203" s="77"/>
      <c r="K203" s="77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0" customHeight="1">
      <c r="A204" s="74"/>
      <c r="B204" s="77"/>
      <c r="C204" s="77"/>
      <c r="D204" s="77"/>
      <c r="E204" s="77"/>
      <c r="F204" s="77"/>
      <c r="G204" s="77"/>
      <c r="H204" s="77"/>
      <c r="I204" s="77"/>
      <c r="J204" s="77"/>
      <c r="K204" s="77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0" customHeight="1">
      <c r="A205" s="74"/>
      <c r="B205" s="121"/>
      <c r="C205" s="121"/>
      <c r="D205" s="121"/>
      <c r="E205" s="121"/>
      <c r="F205" s="77"/>
      <c r="G205" s="77"/>
      <c r="H205" s="77"/>
      <c r="I205" s="77"/>
      <c r="J205" s="77"/>
      <c r="K205" s="77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0" customHeight="1">
      <c r="A206" s="74"/>
      <c r="B206" s="119"/>
      <c r="C206" s="121"/>
      <c r="D206" s="121"/>
      <c r="E206" s="74"/>
      <c r="F206" s="77"/>
      <c r="G206" s="77"/>
      <c r="H206" s="77"/>
      <c r="I206" s="77"/>
      <c r="J206" s="77"/>
      <c r="K206" s="77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0" customHeight="1">
      <c r="A207" s="74"/>
      <c r="B207" s="119"/>
      <c r="C207" s="121"/>
      <c r="D207" s="121"/>
      <c r="E207" s="74"/>
      <c r="F207" s="77"/>
      <c r="G207" s="77"/>
      <c r="H207" s="77"/>
      <c r="I207" s="77"/>
      <c r="J207" s="77"/>
      <c r="K207" s="77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0" customHeight="1">
      <c r="A208" s="74"/>
      <c r="B208" s="119"/>
      <c r="C208" s="121"/>
      <c r="D208" s="121"/>
      <c r="E208" s="74"/>
      <c r="F208" s="77"/>
      <c r="G208" s="77"/>
      <c r="H208" s="77"/>
      <c r="I208" s="77"/>
      <c r="J208" s="77"/>
      <c r="K208" s="77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0" customHeight="1">
      <c r="A209" s="74"/>
      <c r="B209" s="119"/>
      <c r="C209" s="121"/>
      <c r="D209" s="121"/>
      <c r="E209" s="74"/>
      <c r="F209" s="77"/>
      <c r="G209" s="77"/>
      <c r="H209" s="77"/>
      <c r="I209" s="77"/>
      <c r="J209" s="77"/>
      <c r="K209" s="77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0" customHeight="1">
      <c r="A210" s="74"/>
      <c r="B210" s="119"/>
      <c r="C210" s="121"/>
      <c r="D210" s="121"/>
      <c r="E210" s="74"/>
      <c r="F210" s="77"/>
      <c r="G210" s="77"/>
      <c r="H210" s="77"/>
      <c r="I210" s="77"/>
      <c r="J210" s="77"/>
      <c r="K210" s="77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0" customHeight="1">
      <c r="A211" s="74"/>
      <c r="B211" s="119"/>
      <c r="C211" s="77"/>
      <c r="D211" s="77"/>
      <c r="E211" s="77"/>
      <c r="F211" s="77"/>
      <c r="G211" s="77"/>
      <c r="H211" s="77"/>
      <c r="I211" s="77"/>
      <c r="J211" s="77"/>
      <c r="K211" s="77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0" customHeight="1">
      <c r="A212" s="74"/>
      <c r="B212" s="119"/>
      <c r="C212" s="77"/>
      <c r="D212" s="77"/>
      <c r="E212" s="77"/>
      <c r="F212" s="77"/>
      <c r="G212" s="77"/>
      <c r="H212" s="77"/>
      <c r="I212" s="77"/>
      <c r="J212" s="77"/>
      <c r="K212" s="77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0" customHeight="1">
      <c r="A213" s="74"/>
      <c r="B213" s="119"/>
      <c r="C213" s="74"/>
      <c r="D213" s="77"/>
      <c r="E213" s="77"/>
      <c r="F213" s="77"/>
      <c r="G213" s="77"/>
      <c r="H213" s="77"/>
      <c r="I213" s="77"/>
      <c r="J213" s="77"/>
      <c r="K213" s="77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</row>
  </sheetData>
  <mergeCells count="8">
    <mergeCell ref="B2:E2"/>
    <mergeCell ref="G2:I2"/>
    <mergeCell ref="B3:E3"/>
    <mergeCell ref="G3:I3"/>
    <mergeCell ref="B4:E4"/>
    <mergeCell ref="G4:I4"/>
    <mergeCell ref="B5:E5"/>
    <mergeCell ref="G5:I5"/>
  </mergeCells>
  <dataValidations>
    <dataValidation type="list" allowBlank="1" sqref="B88:B102 C206:C210">
      <formula1>"USD,ARS"</formula1>
    </dataValidation>
    <dataValidation type="list" allowBlank="1" sqref="F88:F102">
      <formula1>"FOB,PESO"</formula1>
    </dataValidation>
    <dataValidation type="list" allowBlank="1" sqref="G88:G102">
      <formula1>"NO,SI"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8" width="14.0"/>
  </cols>
  <sheetData>
    <row r="1" ht="15.0" customHeight="1">
      <c r="A1" s="2" t="s">
        <v>1</v>
      </c>
      <c r="B1" s="4"/>
      <c r="C1" s="4"/>
      <c r="D1" s="4"/>
      <c r="E1" s="4"/>
      <c r="F1" s="4"/>
      <c r="G1" s="4"/>
      <c r="H1" s="4"/>
      <c r="I1" s="5"/>
    </row>
    <row r="2" ht="15.0" customHeight="1">
      <c r="A2" s="6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5"/>
    </row>
    <row r="3" ht="15.0" customHeight="1">
      <c r="A3" s="11" t="str">
        <f>Presupuesto!A18</f>
        <v/>
      </c>
      <c r="B3" s="12">
        <f>IF(Presupuesto!D18&gt;0,Presupuesto!C18+Presupuesto!E34*(Presupuesto!E18/Presupuesto!E$33)/Presupuesto!D18,0)</f>
        <v>0</v>
      </c>
      <c r="C3" s="12">
        <f>IF(Presupuesto!D18&gt;0,(Presupuesto!I45+Presupuesto!K65+Presupuesto!B$81*(Presupuesto!E18/Presupuesto!E$33)+Presupuesto!C$104*(Presupuesto!E18/Presupuesto!E$33)+Presupuesto!E$104*(IF(Presupuesto!I$33&gt;0,Presupuesto!I18/Presupuesto!I$33,Presupuesto!E18/Presupuesto!E$33))+Presupuesto!C123*(Presupuesto!E18/Presupuesto!E$33))/Presupuesto!D18,0)</f>
        <v>0</v>
      </c>
      <c r="D3" s="17">
        <f t="shared" ref="D3:D17" si="1">B3+C3</f>
        <v>0</v>
      </c>
      <c r="E3" s="12">
        <f>IF(Presupuesto!D18&gt;0,D3-(Presupuesto!D65+Presupuesto!F65+Presupuesto!H65+Presupuesto!J65+Presupuesto!C123*(Presupuesto!E18/Presupuesto!E$33))/Presupuesto!D18,0)</f>
        <v>0</v>
      </c>
      <c r="F3" s="21">
        <f>D3*Presupuesto!B$86</f>
        <v>0</v>
      </c>
      <c r="G3" s="16">
        <f>E3*Presupuesto!B$86</f>
        <v>0</v>
      </c>
      <c r="H3" s="24"/>
      <c r="I3" s="5"/>
    </row>
    <row r="4" ht="15.0" customHeight="1">
      <c r="A4" s="11" t="str">
        <f>Presupuesto!A19</f>
        <v/>
      </c>
      <c r="B4" s="12">
        <f>IF(Presupuesto!D19&gt;0,Presupuesto!C19+Presupuesto!E34*(Presupuesto!E19/Presupuesto!E$33)/Presupuesto!D19,0)</f>
        <v>0</v>
      </c>
      <c r="C4" s="12">
        <f>IF(Presupuesto!D19&gt;0,(Presupuesto!I46+Presupuesto!K66+Presupuesto!B$81*(Presupuesto!E19/Presupuesto!E$33)+Presupuesto!C$104*(Presupuesto!E19/Presupuesto!E$33)+Presupuesto!E$104*(IF(Presupuesto!I$33&gt;0,Presupuesto!I19/Presupuesto!I$33,Presupuesto!E19/Presupuesto!E$33))+Presupuesto!C123*(Presupuesto!E19/Presupuesto!E$33))/Presupuesto!D19,0)</f>
        <v>0</v>
      </c>
      <c r="D4" s="17">
        <f t="shared" si="1"/>
        <v>0</v>
      </c>
      <c r="E4" s="12">
        <f>IF(Presupuesto!D19&gt;0,D4-(Presupuesto!D66+Presupuesto!F66+Presupuesto!H66+Presupuesto!J66+Presupuesto!C123*(Presupuesto!E19/Presupuesto!E$33))/Presupuesto!D19,0)</f>
        <v>0</v>
      </c>
      <c r="F4" s="21">
        <f>D4*Presupuesto!B$86</f>
        <v>0</v>
      </c>
      <c r="G4" s="16">
        <f>E4*Presupuesto!B$86</f>
        <v>0</v>
      </c>
      <c r="H4" s="24"/>
      <c r="I4" s="5"/>
    </row>
    <row r="5" ht="15.0" customHeight="1">
      <c r="A5" s="11" t="str">
        <f>Presupuesto!A20</f>
        <v/>
      </c>
      <c r="B5" s="12">
        <f>IF(Presupuesto!D20&gt;0,Presupuesto!C20+Presupuesto!E34*(Presupuesto!E20/Presupuesto!E$33)/Presupuesto!D20,0)</f>
        <v>0</v>
      </c>
      <c r="C5" s="12">
        <f>IF(Presupuesto!D20&gt;0,(Presupuesto!I47+Presupuesto!K67+Presupuesto!B$81*(Presupuesto!E20/Presupuesto!E$33)+Presupuesto!C$104*(Presupuesto!E20/Presupuesto!E$33)+Presupuesto!E$104*(IF(Presupuesto!I$33&gt;0,Presupuesto!I20/Presupuesto!I$33,Presupuesto!E20/Presupuesto!E$33))+Presupuesto!C123*(Presupuesto!E20/Presupuesto!E$33))/Presupuesto!D20,0)</f>
        <v>0</v>
      </c>
      <c r="D5" s="17">
        <f t="shared" si="1"/>
        <v>0</v>
      </c>
      <c r="E5" s="12">
        <f>IF(Presupuesto!D20&gt;0,D5-(Presupuesto!D67+Presupuesto!F67+Presupuesto!H67+Presupuesto!J67+Presupuesto!C123*(Presupuesto!E20/Presupuesto!E$33))/Presupuesto!D20,0)</f>
        <v>0</v>
      </c>
      <c r="F5" s="21">
        <f>D5*Presupuesto!B$86</f>
        <v>0</v>
      </c>
      <c r="G5" s="16">
        <f>E5*Presupuesto!B$86</f>
        <v>0</v>
      </c>
      <c r="H5" s="24"/>
      <c r="I5" s="5"/>
    </row>
    <row r="6" ht="15.0" customHeight="1">
      <c r="A6" s="11" t="str">
        <f>Presupuesto!A21</f>
        <v/>
      </c>
      <c r="B6" s="12">
        <f>IF(Presupuesto!D21&gt;0,Presupuesto!C21+Presupuesto!E34*(Presupuesto!E21/Presupuesto!E$33)/Presupuesto!D21,0)</f>
        <v>0</v>
      </c>
      <c r="C6" s="12">
        <f>IF(Presupuesto!D21&gt;0,(Presupuesto!I48+Presupuesto!K68+Presupuesto!B$81*(Presupuesto!E21/Presupuesto!E$33)+Presupuesto!C$104*(Presupuesto!E21/Presupuesto!E$33)+Presupuesto!E$104*(IF(Presupuesto!I$33&gt;0,Presupuesto!I21/Presupuesto!I$33,Presupuesto!E21/Presupuesto!E$33))+Presupuesto!C123*(Presupuesto!E21/Presupuesto!E$33))/Presupuesto!D21,0)</f>
        <v>0</v>
      </c>
      <c r="D6" s="17">
        <f t="shared" si="1"/>
        <v>0</v>
      </c>
      <c r="E6" s="12">
        <f>IF(Presupuesto!D21&gt;0,D6-(Presupuesto!D68+Presupuesto!F68+Presupuesto!H68+Presupuesto!J68+Presupuesto!C123*(Presupuesto!E21/Presupuesto!E$33))/Presupuesto!D21,0)</f>
        <v>0</v>
      </c>
      <c r="F6" s="21">
        <f>D6*Presupuesto!B$86</f>
        <v>0</v>
      </c>
      <c r="G6" s="16">
        <f>E6*Presupuesto!B$86</f>
        <v>0</v>
      </c>
      <c r="H6" s="24"/>
      <c r="I6" s="5"/>
    </row>
    <row r="7" ht="15.0" customHeight="1">
      <c r="A7" s="11" t="str">
        <f>Presupuesto!A22</f>
        <v/>
      </c>
      <c r="B7" s="12">
        <f>IF(Presupuesto!D22&gt;0,Presupuesto!C22+Presupuesto!E34*(Presupuesto!E22/Presupuesto!E$33)/Presupuesto!D22,0)</f>
        <v>0</v>
      </c>
      <c r="C7" s="12">
        <f>IF(Presupuesto!D22&gt;0,(Presupuesto!I49+Presupuesto!K69+Presupuesto!B$81*(Presupuesto!E22/Presupuesto!E$33)+Presupuesto!C$104*(Presupuesto!E22/Presupuesto!E$33)+Presupuesto!E$104*(IF(Presupuesto!I$33&gt;0,Presupuesto!I22/Presupuesto!I$33,Presupuesto!E22/Presupuesto!E$33))+Presupuesto!C123*(Presupuesto!E22/Presupuesto!E$33))/Presupuesto!D22,0)</f>
        <v>0</v>
      </c>
      <c r="D7" s="17">
        <f t="shared" si="1"/>
        <v>0</v>
      </c>
      <c r="E7" s="12">
        <f>IF(Presupuesto!D22&gt;0,D7-(Presupuesto!D69+Presupuesto!F69+Presupuesto!H69+Presupuesto!J69+Presupuesto!C123*(Presupuesto!E22/Presupuesto!E$33))/Presupuesto!D22,0)</f>
        <v>0</v>
      </c>
      <c r="F7" s="21">
        <f>D7*Presupuesto!B$86</f>
        <v>0</v>
      </c>
      <c r="G7" s="16">
        <f>E7*Presupuesto!B$86</f>
        <v>0</v>
      </c>
      <c r="H7" s="24"/>
      <c r="I7" s="5"/>
    </row>
    <row r="8" ht="15.0" customHeight="1">
      <c r="A8" s="11" t="str">
        <f>Presupuesto!A23</f>
        <v/>
      </c>
      <c r="B8" s="12">
        <f>IF(Presupuesto!D23&gt;0,Presupuesto!C23+Presupuesto!E34*(Presupuesto!E23/Presupuesto!E$33)/Presupuesto!D23,0)</f>
        <v>0</v>
      </c>
      <c r="C8" s="12">
        <f>IF(Presupuesto!D23&gt;0,(Presupuesto!I50+Presupuesto!K70+Presupuesto!B$81*(Presupuesto!E23/Presupuesto!E$33)+Presupuesto!C$104*(Presupuesto!E23/Presupuesto!E$33)+Presupuesto!E$104*(IF(Presupuesto!I$33&gt;0,Presupuesto!I23/Presupuesto!I$33,Presupuesto!E23/Presupuesto!E$33))+Presupuesto!C123*(Presupuesto!E23/Presupuesto!E$33))/Presupuesto!D23,0)</f>
        <v>0</v>
      </c>
      <c r="D8" s="17">
        <f t="shared" si="1"/>
        <v>0</v>
      </c>
      <c r="E8" s="12">
        <f>IF(Presupuesto!D23&gt;0,D8-(Presupuesto!D70+Presupuesto!F70+Presupuesto!H70+Presupuesto!J70+Presupuesto!C123*(Presupuesto!E23/Presupuesto!E$33))/Presupuesto!D23,0)</f>
        <v>0</v>
      </c>
      <c r="F8" s="21">
        <f>D8*Presupuesto!B$86</f>
        <v>0</v>
      </c>
      <c r="G8" s="16">
        <f>E8*Presupuesto!B$86</f>
        <v>0</v>
      </c>
      <c r="H8" s="24"/>
      <c r="I8" s="5"/>
    </row>
    <row r="9" ht="15.0" customHeight="1">
      <c r="A9" s="11" t="str">
        <f>Presupuesto!A24</f>
        <v/>
      </c>
      <c r="B9" s="12">
        <f>IF(Presupuesto!D24&gt;0,Presupuesto!C24+Presupuesto!E34*(Presupuesto!E24/Presupuesto!E$33)/Presupuesto!D24,0)</f>
        <v>0</v>
      </c>
      <c r="C9" s="12">
        <f>IF(Presupuesto!D24&gt;0,(Presupuesto!I51+Presupuesto!K71+Presupuesto!B$81*(Presupuesto!E24/Presupuesto!E$33)+Presupuesto!C$104*(Presupuesto!E24/Presupuesto!E$33)+Presupuesto!E$104*(IF(Presupuesto!I$33&gt;0,Presupuesto!I24/Presupuesto!I$33,Presupuesto!E24/Presupuesto!E$33))+Presupuesto!C123*(Presupuesto!E24/Presupuesto!E$33))/Presupuesto!D24,0)</f>
        <v>0</v>
      </c>
      <c r="D9" s="17">
        <f t="shared" si="1"/>
        <v>0</v>
      </c>
      <c r="E9" s="12">
        <f>IF(Presupuesto!D24&gt;0,D9-(Presupuesto!D71+Presupuesto!F71+Presupuesto!H71+Presupuesto!J71+Presupuesto!C123*(Presupuesto!E24/Presupuesto!E$33))/Presupuesto!D24,0)</f>
        <v>0</v>
      </c>
      <c r="F9" s="21">
        <f>D9*Presupuesto!B$86</f>
        <v>0</v>
      </c>
      <c r="G9" s="16">
        <f>E9*Presupuesto!B$86</f>
        <v>0</v>
      </c>
      <c r="H9" s="24"/>
      <c r="I9" s="5"/>
    </row>
    <row r="10" ht="15.0" customHeight="1">
      <c r="A10" s="11" t="str">
        <f>Presupuesto!A25</f>
        <v/>
      </c>
      <c r="B10" s="12">
        <f>IF(Presupuesto!D25&gt;0,Presupuesto!C25+Presupuesto!E34*(Presupuesto!E25/Presupuesto!E$33)/Presupuesto!D25,0)</f>
        <v>0</v>
      </c>
      <c r="C10" s="12">
        <f>IF(Presupuesto!D25&gt;0,(Presupuesto!I52+Presupuesto!K72+Presupuesto!B$81*(Presupuesto!E25/Presupuesto!E$33)+Presupuesto!C$104*(Presupuesto!E25/Presupuesto!E$33)+Presupuesto!E$104*(IF(Presupuesto!I$33&gt;0,Presupuesto!I25/Presupuesto!I$33,Presupuesto!E25/Presupuesto!E$33))+Presupuesto!C123*(Presupuesto!E25/Presupuesto!E$33))/Presupuesto!D25,0)</f>
        <v>0</v>
      </c>
      <c r="D10" s="17">
        <f t="shared" si="1"/>
        <v>0</v>
      </c>
      <c r="E10" s="12">
        <f>IF(Presupuesto!D25&gt;0,D10-(Presupuesto!D72+Presupuesto!F72+Presupuesto!H72+Presupuesto!J72+Presupuesto!C123*(Presupuesto!E25/Presupuesto!E$33))/Presupuesto!D25,0)</f>
        <v>0</v>
      </c>
      <c r="F10" s="21">
        <f>D10*Presupuesto!B$86</f>
        <v>0</v>
      </c>
      <c r="G10" s="16">
        <f>E10*Presupuesto!B$86</f>
        <v>0</v>
      </c>
      <c r="H10" s="24"/>
      <c r="I10" s="5"/>
    </row>
    <row r="11" ht="15.0" customHeight="1">
      <c r="A11" s="11" t="str">
        <f>Presupuesto!A26</f>
        <v/>
      </c>
      <c r="B11" s="12">
        <f>IF(Presupuesto!D26&gt;0,Presupuesto!C26+Presupuesto!E34*(Presupuesto!E26/Presupuesto!E$33)/Presupuesto!D26,0)</f>
        <v>0</v>
      </c>
      <c r="C11" s="12">
        <f>IF(Presupuesto!D26&gt;0,(Presupuesto!I53+Presupuesto!K73+Presupuesto!B$81*(Presupuesto!E26/Presupuesto!E$33)+Presupuesto!C$104*(Presupuesto!E26/Presupuesto!E$33)+Presupuesto!E$104*(IF(Presupuesto!I$33&gt;0,Presupuesto!I26/Presupuesto!I$33,Presupuesto!E26/Presupuesto!E$33))+Presupuesto!C123*(Presupuesto!E26/Presupuesto!E$33))/Presupuesto!D26,0)</f>
        <v>0</v>
      </c>
      <c r="D11" s="17">
        <f t="shared" si="1"/>
        <v>0</v>
      </c>
      <c r="E11" s="12">
        <f>IF(Presupuesto!D26&gt;0,D11-(Presupuesto!D73+Presupuesto!F73+Presupuesto!H73+Presupuesto!J73+Presupuesto!C123*(Presupuesto!E26/Presupuesto!E$33))/Presupuesto!D26,0)</f>
        <v>0</v>
      </c>
      <c r="F11" s="21">
        <f>D11*Presupuesto!B$86</f>
        <v>0</v>
      </c>
      <c r="G11" s="16">
        <f>E11*Presupuesto!B$86</f>
        <v>0</v>
      </c>
      <c r="H11" s="24"/>
      <c r="I11" s="5"/>
    </row>
    <row r="12" ht="15.0" customHeight="1">
      <c r="A12" s="11" t="str">
        <f>Presupuesto!A27</f>
        <v/>
      </c>
      <c r="B12" s="12">
        <f>IF(Presupuesto!D27&gt;0,Presupuesto!C27+Presupuesto!E34*(Presupuesto!E27/Presupuesto!E$33)/Presupuesto!D27,0)</f>
        <v>0</v>
      </c>
      <c r="C12" s="12">
        <f>IF(Presupuesto!D27&gt;0,(Presupuesto!I54+Presupuesto!K74+Presupuesto!B$81*(Presupuesto!E27/Presupuesto!E$33)+Presupuesto!C$104*(Presupuesto!E27/Presupuesto!E$33)+Presupuesto!E$104*(IF(Presupuesto!I$33&gt;0,Presupuesto!I27/Presupuesto!I$33,Presupuesto!E27/Presupuesto!E$33))+Presupuesto!C123*(Presupuesto!E27/Presupuesto!E$33))/Presupuesto!D27,0)</f>
        <v>0</v>
      </c>
      <c r="D12" s="17">
        <f t="shared" si="1"/>
        <v>0</v>
      </c>
      <c r="E12" s="12">
        <f>IF(Presupuesto!D27&gt;0,D12-(Presupuesto!D74+Presupuesto!F74+Presupuesto!H74+Presupuesto!J74+Presupuesto!C123*(Presupuesto!E27/Presupuesto!E$33))/Presupuesto!D27,0)</f>
        <v>0</v>
      </c>
      <c r="F12" s="21">
        <f>D12*Presupuesto!B$86</f>
        <v>0</v>
      </c>
      <c r="G12" s="16">
        <f>E12*Presupuesto!B$86</f>
        <v>0</v>
      </c>
      <c r="H12" s="24"/>
      <c r="I12" s="5"/>
    </row>
    <row r="13" ht="15.0" customHeight="1">
      <c r="A13" s="11" t="str">
        <f>Presupuesto!A28</f>
        <v/>
      </c>
      <c r="B13" s="12">
        <f>IF(Presupuesto!D28&gt;0,Presupuesto!C28+Presupuesto!E34*(Presupuesto!E28/Presupuesto!E$33)/Presupuesto!D28,0)</f>
        <v>0</v>
      </c>
      <c r="C13" s="12">
        <f>IF(Presupuesto!D28&gt;0,(Presupuesto!I55+Presupuesto!K75+Presupuesto!B$81*(Presupuesto!E28/Presupuesto!E$33)+Presupuesto!C$104*(Presupuesto!E28/Presupuesto!E$33)+Presupuesto!E$104*(IF(Presupuesto!I$33&gt;0,Presupuesto!I28/Presupuesto!I$33,Presupuesto!E28/Presupuesto!E$33))+Presupuesto!C123*(Presupuesto!E28/Presupuesto!E$33))/Presupuesto!D28,0)</f>
        <v>0</v>
      </c>
      <c r="D13" s="17">
        <f t="shared" si="1"/>
        <v>0</v>
      </c>
      <c r="E13" s="12">
        <f>IF(Presupuesto!D28&gt;0,D13-(Presupuesto!D75+Presupuesto!F75+Presupuesto!H75+Presupuesto!J75+Presupuesto!C123*(Presupuesto!E28/Presupuesto!E$33))/Presupuesto!D28,0)</f>
        <v>0</v>
      </c>
      <c r="F13" s="21">
        <f>D13*Presupuesto!B$86</f>
        <v>0</v>
      </c>
      <c r="G13" s="16">
        <f>E13*Presupuesto!B$86</f>
        <v>0</v>
      </c>
      <c r="H13" s="24"/>
      <c r="I13" s="5"/>
    </row>
    <row r="14" ht="15.0" customHeight="1">
      <c r="A14" s="11" t="str">
        <f>Presupuesto!A29</f>
        <v/>
      </c>
      <c r="B14" s="12">
        <f>IF(Presupuesto!D29&gt;0,Presupuesto!C29+Presupuesto!E34*(Presupuesto!E29/Presupuesto!E$33)/Presupuesto!D29,0)</f>
        <v>0</v>
      </c>
      <c r="C14" s="12">
        <f>IF(Presupuesto!D29&gt;0,(Presupuesto!I56+Presupuesto!K76+Presupuesto!B$81*(Presupuesto!E29/Presupuesto!E$33)+Presupuesto!C$104*(Presupuesto!E29/Presupuesto!E$33)+Presupuesto!E$104*(IF(Presupuesto!I$33&gt;0,Presupuesto!I29/Presupuesto!I$33,Presupuesto!E29/Presupuesto!E$33))+Presupuesto!C123*(Presupuesto!E29/Presupuesto!E$33))/Presupuesto!D29,0)</f>
        <v>0</v>
      </c>
      <c r="D14" s="17">
        <f t="shared" si="1"/>
        <v>0</v>
      </c>
      <c r="E14" s="12">
        <f>IF(Presupuesto!D29&gt;0,D14-(Presupuesto!D76+Presupuesto!F76+Presupuesto!H76+Presupuesto!J76+Presupuesto!C123*(Presupuesto!E29/Presupuesto!E$33))/Presupuesto!D29,0)</f>
        <v>0</v>
      </c>
      <c r="F14" s="21">
        <f>D14*Presupuesto!B$86</f>
        <v>0</v>
      </c>
      <c r="G14" s="16">
        <f>E14*Presupuesto!B$86</f>
        <v>0</v>
      </c>
      <c r="H14" s="24"/>
      <c r="I14" s="5"/>
    </row>
    <row r="15" ht="15.0" customHeight="1">
      <c r="A15" s="11" t="str">
        <f>Presupuesto!A30</f>
        <v/>
      </c>
      <c r="B15" s="12">
        <f>IF(Presupuesto!D30&gt;0,Presupuesto!C30+Presupuesto!E34*(Presupuesto!E30/Presupuesto!E$33)/Presupuesto!D30,0)</f>
        <v>0</v>
      </c>
      <c r="C15" s="12">
        <f>IF(Presupuesto!D30&gt;0,(Presupuesto!I57+Presupuesto!K77+Presupuesto!B$81*(Presupuesto!E30/Presupuesto!E$33)+Presupuesto!C$104*(Presupuesto!E30/Presupuesto!E$33)+Presupuesto!E$104*(IF(Presupuesto!I$33&gt;0,Presupuesto!I30/Presupuesto!I$33,Presupuesto!E30/Presupuesto!E$33))+Presupuesto!C123*(Presupuesto!E30/Presupuesto!E$33))/Presupuesto!D30,0)</f>
        <v>0</v>
      </c>
      <c r="D15" s="17">
        <f t="shared" si="1"/>
        <v>0</v>
      </c>
      <c r="E15" s="12">
        <f>IF(Presupuesto!D30&gt;0,D15-(Presupuesto!D77+Presupuesto!F77+Presupuesto!H77+Presupuesto!J77+Presupuesto!C123*(Presupuesto!E30/Presupuesto!E$33))/Presupuesto!D30,0)</f>
        <v>0</v>
      </c>
      <c r="F15" s="21">
        <f>D15*Presupuesto!B$86</f>
        <v>0</v>
      </c>
      <c r="G15" s="16">
        <f>E15*Presupuesto!B$86</f>
        <v>0</v>
      </c>
      <c r="H15" s="24"/>
      <c r="I15" s="5"/>
    </row>
    <row r="16" ht="15.0" customHeight="1">
      <c r="A16" s="11" t="str">
        <f>Presupuesto!A31</f>
        <v/>
      </c>
      <c r="B16" s="12">
        <f>IF(Presupuesto!D31&gt;0,Presupuesto!C31+Presupuesto!E34*(Presupuesto!E31/Presupuesto!E$33)/Presupuesto!D31,0)</f>
        <v>0</v>
      </c>
      <c r="C16" s="12">
        <f>IF(Presupuesto!D31&gt;0,(Presupuesto!I58+Presupuesto!K78+Presupuesto!B$81*(Presupuesto!E31/Presupuesto!E$33)+Presupuesto!C$104*(Presupuesto!E31/Presupuesto!E$33)+Presupuesto!E$104*(IF(Presupuesto!I$33&gt;0,Presupuesto!I31/Presupuesto!I$33,Presupuesto!E31/Presupuesto!E$33))+Presupuesto!C123*(Presupuesto!E31/Presupuesto!E$33))/Presupuesto!D31,0)</f>
        <v>0</v>
      </c>
      <c r="D16" s="17">
        <f t="shared" si="1"/>
        <v>0</v>
      </c>
      <c r="E16" s="12">
        <f>IF(Presupuesto!D31&gt;0,D16-(Presupuesto!D78+Presupuesto!F78+Presupuesto!H78+Presupuesto!J78+Presupuesto!C123*(Presupuesto!E31/Presupuesto!E$33))/Presupuesto!D31,0)</f>
        <v>0</v>
      </c>
      <c r="F16" s="21">
        <f>D16*Presupuesto!B$86</f>
        <v>0</v>
      </c>
      <c r="G16" s="16">
        <f>E16*Presupuesto!B$86</f>
        <v>0</v>
      </c>
      <c r="H16" s="24"/>
      <c r="I16" s="5"/>
    </row>
    <row r="17" ht="15.0" customHeight="1">
      <c r="A17" s="11" t="str">
        <f>Presupuesto!A32</f>
        <v/>
      </c>
      <c r="B17" s="12">
        <f>IF(Presupuesto!D32&gt;0,Presupuesto!C32+Presupuesto!E34*(Presupuesto!E32/Presupuesto!E$33)/Presupuesto!D32,0)</f>
        <v>0</v>
      </c>
      <c r="C17" s="12">
        <f>IF(Presupuesto!D32&gt;0,(Presupuesto!I59+Presupuesto!K79+Presupuesto!B$81*(Presupuesto!E32/Presupuesto!E$33)+Presupuesto!C$104*(Presupuesto!E32/Presupuesto!E$33)+Presupuesto!E$104*(IF(Presupuesto!I$33&gt;0,Presupuesto!I32/Presupuesto!I$33,Presupuesto!E32/Presupuesto!E$33))+Presupuesto!C123*(Presupuesto!E32/Presupuesto!E$33))/Presupuesto!D32,0)</f>
        <v>0</v>
      </c>
      <c r="D17" s="17">
        <f t="shared" si="1"/>
        <v>0</v>
      </c>
      <c r="E17" s="12">
        <f>IF(Presupuesto!D32&gt;0,D17-(Presupuesto!D79+Presupuesto!F79+Presupuesto!H79+Presupuesto!J79+Presupuesto!C123*(Presupuesto!E32/Presupuesto!E$33))/Presupuesto!D32,0)</f>
        <v>0</v>
      </c>
      <c r="F17" s="21">
        <f>D17*Presupuesto!B$86</f>
        <v>0</v>
      </c>
      <c r="G17" s="16">
        <f>E17*Presupuesto!B$86</f>
        <v>0</v>
      </c>
      <c r="H17" s="24"/>
      <c r="I17" s="5"/>
    </row>
    <row r="18" ht="15.0" customHeight="1">
      <c r="A18" s="80" t="s">
        <v>83</v>
      </c>
      <c r="B18" s="84"/>
      <c r="C18" s="84"/>
      <c r="D18" s="89">
        <f>D3*Presupuesto!D18+D4*Presupuesto!D19+D5*Presupuesto!D20+D6*Presupuesto!D21+D7*Presupuesto!D22+D8*Presupuesto!D23+D9*Presupuesto!D24+D10*Presupuesto!D25+D11*Presupuesto!D26+D12*Presupuesto!D27+D13*Presupuesto!D28+D14*Presupuesto!D29+D15*Presupuesto!D30+D16*Presupuesto!D31+D17*Presupuesto!D32</f>
        <v>0</v>
      </c>
      <c r="E18" s="84"/>
      <c r="F18" s="84"/>
      <c r="G18" s="84"/>
      <c r="H18" s="84"/>
      <c r="I18" s="5"/>
    </row>
    <row r="19" ht="15.0" customHeight="1">
      <c r="A19" s="90" t="s">
        <v>88</v>
      </c>
      <c r="B19" s="93">
        <f>Presupuesto!B126-(D3*Presupuesto!D18+D4*Presupuesto!D19+D5*Presupuesto!D20+D6*Presupuesto!D21+D7*Presupuesto!D22+D8*Presupuesto!D23+D9*Presupuesto!D24+D10*Presupuesto!D25+D11*Presupuesto!D26+D12*Presupuesto!D27+D13*Presupuesto!D28+D14*Presupuesto!D29+D15*Presupuesto!D30+D16*Presupuesto!D31+D17*Presupuesto!D32)</f>
        <v>10</v>
      </c>
      <c r="C19" s="5"/>
      <c r="D19" s="5"/>
      <c r="E19" s="5"/>
      <c r="F19" s="5"/>
      <c r="G19" s="5"/>
      <c r="H19" s="5"/>
      <c r="I19" s="5"/>
    </row>
    <row r="20" ht="15.0" customHeight="1">
      <c r="A20" s="5"/>
      <c r="B20" s="5"/>
      <c r="C20" s="5"/>
      <c r="D20" s="5"/>
      <c r="E20" s="5"/>
      <c r="F20" s="5"/>
      <c r="G20" s="5"/>
      <c r="H20" s="5"/>
      <c r="I20" s="5"/>
    </row>
    <row r="21" ht="15.0" customHeight="1">
      <c r="A21" s="2" t="s">
        <v>94</v>
      </c>
      <c r="B21" s="4"/>
      <c r="C21" s="4"/>
      <c r="D21" s="4"/>
      <c r="E21" s="4"/>
      <c r="F21" s="4"/>
      <c r="G21" s="4"/>
      <c r="H21" s="4"/>
      <c r="I21" s="5"/>
    </row>
    <row r="22" ht="15.0" customHeight="1">
      <c r="A22" s="6" t="s">
        <v>2</v>
      </c>
      <c r="B22" s="6" t="s">
        <v>5</v>
      </c>
      <c r="C22" s="6" t="s">
        <v>95</v>
      </c>
      <c r="D22" s="6" t="s">
        <v>96</v>
      </c>
      <c r="E22" s="6" t="s">
        <v>97</v>
      </c>
      <c r="F22" s="6" t="s">
        <v>98</v>
      </c>
      <c r="G22" s="6" t="s">
        <v>99</v>
      </c>
      <c r="H22" s="6" t="s">
        <v>100</v>
      </c>
      <c r="I22" s="5"/>
    </row>
    <row r="23" ht="15.0" customHeight="1">
      <c r="A23" s="11" t="str">
        <f>Presupuesto!A18</f>
        <v/>
      </c>
      <c r="B23" s="12">
        <f t="shared" ref="B23:B37" si="2">D3</f>
        <v>0</v>
      </c>
      <c r="C23" s="95">
        <v>0.3</v>
      </c>
      <c r="D23" s="12">
        <f t="shared" ref="D23:D37" si="3">B23*(1+C23)</f>
        <v>0</v>
      </c>
      <c r="E23" s="96">
        <v>0.0</v>
      </c>
      <c r="F23" s="96">
        <v>0.0</v>
      </c>
      <c r="G23" s="97">
        <f t="shared" ref="G23:G37" si="4">IF(AND(B23&gt;0,E23&gt;0),(E23-B23)/B23,0)</f>
        <v>0</v>
      </c>
      <c r="H23" s="12">
        <f t="shared" ref="H23:H37" si="5">IF(E23&gt;0,E23-B23,0)</f>
        <v>0</v>
      </c>
      <c r="I23" s="5"/>
    </row>
    <row r="24" ht="15.0" customHeight="1">
      <c r="A24" s="11" t="str">
        <f>Presupuesto!A19</f>
        <v/>
      </c>
      <c r="B24" s="12">
        <f t="shared" si="2"/>
        <v>0</v>
      </c>
      <c r="C24" s="95">
        <v>0.3</v>
      </c>
      <c r="D24" s="12">
        <f t="shared" si="3"/>
        <v>0</v>
      </c>
      <c r="E24" s="96">
        <v>0.0</v>
      </c>
      <c r="F24" s="96">
        <v>0.0</v>
      </c>
      <c r="G24" s="97">
        <f t="shared" si="4"/>
        <v>0</v>
      </c>
      <c r="H24" s="12">
        <f t="shared" si="5"/>
        <v>0</v>
      </c>
      <c r="I24" s="5"/>
    </row>
    <row r="25" ht="15.0" customHeight="1">
      <c r="A25" s="11" t="str">
        <f>Presupuesto!A20</f>
        <v/>
      </c>
      <c r="B25" s="12">
        <f t="shared" si="2"/>
        <v>0</v>
      </c>
      <c r="C25" s="95">
        <v>0.3</v>
      </c>
      <c r="D25" s="12">
        <f t="shared" si="3"/>
        <v>0</v>
      </c>
      <c r="E25" s="96">
        <v>0.0</v>
      </c>
      <c r="F25" s="96">
        <v>0.0</v>
      </c>
      <c r="G25" s="97">
        <f t="shared" si="4"/>
        <v>0</v>
      </c>
      <c r="H25" s="12">
        <f t="shared" si="5"/>
        <v>0</v>
      </c>
      <c r="I25" s="5"/>
    </row>
    <row r="26" ht="15.0" customHeight="1">
      <c r="A26" s="11" t="str">
        <f>Presupuesto!A21</f>
        <v/>
      </c>
      <c r="B26" s="12">
        <f t="shared" si="2"/>
        <v>0</v>
      </c>
      <c r="C26" s="95">
        <v>0.3</v>
      </c>
      <c r="D26" s="12">
        <f t="shared" si="3"/>
        <v>0</v>
      </c>
      <c r="E26" s="96">
        <v>0.0</v>
      </c>
      <c r="F26" s="96">
        <v>0.0</v>
      </c>
      <c r="G26" s="97">
        <f t="shared" si="4"/>
        <v>0</v>
      </c>
      <c r="H26" s="12">
        <f t="shared" si="5"/>
        <v>0</v>
      </c>
      <c r="I26" s="5"/>
    </row>
    <row r="27" ht="15.0" customHeight="1">
      <c r="A27" s="11" t="str">
        <f>Presupuesto!A22</f>
        <v/>
      </c>
      <c r="B27" s="12">
        <f t="shared" si="2"/>
        <v>0</v>
      </c>
      <c r="C27" s="95">
        <v>0.3</v>
      </c>
      <c r="D27" s="12">
        <f t="shared" si="3"/>
        <v>0</v>
      </c>
      <c r="E27" s="96">
        <v>0.0</v>
      </c>
      <c r="F27" s="96">
        <v>0.0</v>
      </c>
      <c r="G27" s="97">
        <f t="shared" si="4"/>
        <v>0</v>
      </c>
      <c r="H27" s="12">
        <f t="shared" si="5"/>
        <v>0</v>
      </c>
      <c r="I27" s="5"/>
    </row>
    <row r="28" ht="15.0" customHeight="1">
      <c r="A28" s="11" t="str">
        <f>Presupuesto!A23</f>
        <v/>
      </c>
      <c r="B28" s="12">
        <f t="shared" si="2"/>
        <v>0</v>
      </c>
      <c r="C28" s="95">
        <v>0.3</v>
      </c>
      <c r="D28" s="12">
        <f t="shared" si="3"/>
        <v>0</v>
      </c>
      <c r="E28" s="96">
        <v>0.0</v>
      </c>
      <c r="F28" s="96">
        <v>0.0</v>
      </c>
      <c r="G28" s="97">
        <f t="shared" si="4"/>
        <v>0</v>
      </c>
      <c r="H28" s="12">
        <f t="shared" si="5"/>
        <v>0</v>
      </c>
      <c r="I28" s="5"/>
    </row>
    <row r="29" ht="15.0" customHeight="1">
      <c r="A29" s="11" t="str">
        <f>Presupuesto!A24</f>
        <v/>
      </c>
      <c r="B29" s="12">
        <f t="shared" si="2"/>
        <v>0</v>
      </c>
      <c r="C29" s="95">
        <v>0.3</v>
      </c>
      <c r="D29" s="12">
        <f t="shared" si="3"/>
        <v>0</v>
      </c>
      <c r="E29" s="96">
        <v>0.0</v>
      </c>
      <c r="F29" s="96">
        <v>0.0</v>
      </c>
      <c r="G29" s="97">
        <f t="shared" si="4"/>
        <v>0</v>
      </c>
      <c r="H29" s="12">
        <f t="shared" si="5"/>
        <v>0</v>
      </c>
      <c r="I29" s="5"/>
    </row>
    <row r="30" ht="15.0" customHeight="1">
      <c r="A30" s="11" t="str">
        <f>Presupuesto!A25</f>
        <v/>
      </c>
      <c r="B30" s="12">
        <f t="shared" si="2"/>
        <v>0</v>
      </c>
      <c r="C30" s="95">
        <v>0.3</v>
      </c>
      <c r="D30" s="12">
        <f t="shared" si="3"/>
        <v>0</v>
      </c>
      <c r="E30" s="96">
        <v>0.0</v>
      </c>
      <c r="F30" s="96">
        <v>0.0</v>
      </c>
      <c r="G30" s="97">
        <f t="shared" si="4"/>
        <v>0</v>
      </c>
      <c r="H30" s="12">
        <f t="shared" si="5"/>
        <v>0</v>
      </c>
      <c r="I30" s="5"/>
    </row>
    <row r="31" ht="15.0" customHeight="1">
      <c r="A31" s="11" t="str">
        <f>Presupuesto!A26</f>
        <v/>
      </c>
      <c r="B31" s="12">
        <f t="shared" si="2"/>
        <v>0</v>
      </c>
      <c r="C31" s="95">
        <v>0.3</v>
      </c>
      <c r="D31" s="12">
        <f t="shared" si="3"/>
        <v>0</v>
      </c>
      <c r="E31" s="96">
        <v>0.0</v>
      </c>
      <c r="F31" s="96">
        <v>0.0</v>
      </c>
      <c r="G31" s="97">
        <f t="shared" si="4"/>
        <v>0</v>
      </c>
      <c r="H31" s="12">
        <f t="shared" si="5"/>
        <v>0</v>
      </c>
      <c r="I31" s="5"/>
    </row>
    <row r="32" ht="15.0" customHeight="1">
      <c r="A32" s="11" t="str">
        <f>Presupuesto!A27</f>
        <v/>
      </c>
      <c r="B32" s="12">
        <f t="shared" si="2"/>
        <v>0</v>
      </c>
      <c r="C32" s="95">
        <v>0.3</v>
      </c>
      <c r="D32" s="12">
        <f t="shared" si="3"/>
        <v>0</v>
      </c>
      <c r="E32" s="96">
        <v>0.0</v>
      </c>
      <c r="F32" s="96">
        <v>0.0</v>
      </c>
      <c r="G32" s="97">
        <f t="shared" si="4"/>
        <v>0</v>
      </c>
      <c r="H32" s="12">
        <f t="shared" si="5"/>
        <v>0</v>
      </c>
      <c r="I32" s="5"/>
    </row>
    <row r="33" ht="15.0" customHeight="1">
      <c r="A33" s="11" t="str">
        <f>Presupuesto!A28</f>
        <v/>
      </c>
      <c r="B33" s="12">
        <f t="shared" si="2"/>
        <v>0</v>
      </c>
      <c r="C33" s="95">
        <v>0.3</v>
      </c>
      <c r="D33" s="12">
        <f t="shared" si="3"/>
        <v>0</v>
      </c>
      <c r="E33" s="96">
        <v>0.0</v>
      </c>
      <c r="F33" s="96">
        <v>0.0</v>
      </c>
      <c r="G33" s="97">
        <f t="shared" si="4"/>
        <v>0</v>
      </c>
      <c r="H33" s="12">
        <f t="shared" si="5"/>
        <v>0</v>
      </c>
      <c r="I33" s="5"/>
    </row>
    <row r="34" ht="15.0" customHeight="1">
      <c r="A34" s="11" t="str">
        <f>Presupuesto!A29</f>
        <v/>
      </c>
      <c r="B34" s="12">
        <f t="shared" si="2"/>
        <v>0</v>
      </c>
      <c r="C34" s="95">
        <v>0.3</v>
      </c>
      <c r="D34" s="12">
        <f t="shared" si="3"/>
        <v>0</v>
      </c>
      <c r="E34" s="96">
        <v>0.0</v>
      </c>
      <c r="F34" s="96">
        <v>0.0</v>
      </c>
      <c r="G34" s="97">
        <f t="shared" si="4"/>
        <v>0</v>
      </c>
      <c r="H34" s="12">
        <f t="shared" si="5"/>
        <v>0</v>
      </c>
      <c r="I34" s="5"/>
    </row>
    <row r="35" ht="15.0" customHeight="1">
      <c r="A35" s="11" t="str">
        <f>Presupuesto!A30</f>
        <v/>
      </c>
      <c r="B35" s="12">
        <f t="shared" si="2"/>
        <v>0</v>
      </c>
      <c r="C35" s="95">
        <v>0.3</v>
      </c>
      <c r="D35" s="12">
        <f t="shared" si="3"/>
        <v>0</v>
      </c>
      <c r="E35" s="96">
        <v>0.0</v>
      </c>
      <c r="F35" s="96">
        <v>0.0</v>
      </c>
      <c r="G35" s="97">
        <f t="shared" si="4"/>
        <v>0</v>
      </c>
      <c r="H35" s="12">
        <f t="shared" si="5"/>
        <v>0</v>
      </c>
      <c r="I35" s="5"/>
    </row>
    <row r="36" ht="15.0" customHeight="1">
      <c r="A36" s="11" t="str">
        <f>Presupuesto!A31</f>
        <v/>
      </c>
      <c r="B36" s="12">
        <f t="shared" si="2"/>
        <v>0</v>
      </c>
      <c r="C36" s="95">
        <v>0.3</v>
      </c>
      <c r="D36" s="12">
        <f t="shared" si="3"/>
        <v>0</v>
      </c>
      <c r="E36" s="96">
        <v>0.0</v>
      </c>
      <c r="F36" s="96">
        <v>0.0</v>
      </c>
      <c r="G36" s="97">
        <f t="shared" si="4"/>
        <v>0</v>
      </c>
      <c r="H36" s="12">
        <f t="shared" si="5"/>
        <v>0</v>
      </c>
      <c r="I36" s="5"/>
    </row>
    <row r="37" ht="15.0" customHeight="1">
      <c r="A37" s="11" t="str">
        <f>Presupuesto!A32</f>
        <v/>
      </c>
      <c r="B37" s="12">
        <f t="shared" si="2"/>
        <v>0</v>
      </c>
      <c r="C37" s="95">
        <v>0.3</v>
      </c>
      <c r="D37" s="12">
        <f t="shared" si="3"/>
        <v>0</v>
      </c>
      <c r="E37" s="96">
        <v>0.0</v>
      </c>
      <c r="F37" s="96">
        <v>0.0</v>
      </c>
      <c r="G37" s="97">
        <f t="shared" si="4"/>
        <v>0</v>
      </c>
      <c r="H37" s="12">
        <f t="shared" si="5"/>
        <v>0</v>
      </c>
      <c r="I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</row>
    <row r="39" ht="15.0" customHeight="1">
      <c r="A39" s="2" t="s">
        <v>114</v>
      </c>
      <c r="B39" s="4"/>
      <c r="C39" s="4"/>
      <c r="D39" s="4"/>
      <c r="E39" s="4"/>
      <c r="F39" s="4"/>
      <c r="G39" s="4"/>
      <c r="H39" s="4"/>
      <c r="I39" s="5"/>
    </row>
    <row r="40" ht="15.0" customHeight="1">
      <c r="A40" s="104" t="s">
        <v>115</v>
      </c>
      <c r="B40" s="106">
        <v>0.0</v>
      </c>
      <c r="C40" s="5"/>
      <c r="D40" s="5"/>
      <c r="E40" s="5"/>
      <c r="F40" s="5"/>
      <c r="G40" s="5"/>
      <c r="H40" s="5"/>
      <c r="I40" s="5"/>
    </row>
    <row r="41" ht="15.0" customHeight="1">
      <c r="A41" s="6" t="s">
        <v>2</v>
      </c>
      <c r="B41" s="6" t="s">
        <v>5</v>
      </c>
      <c r="C41" s="6" t="s">
        <v>95</v>
      </c>
      <c r="D41" s="6" t="s">
        <v>96</v>
      </c>
      <c r="E41" s="6" t="s">
        <v>97</v>
      </c>
      <c r="F41" s="6" t="s">
        <v>98</v>
      </c>
      <c r="G41" s="6" t="s">
        <v>99</v>
      </c>
      <c r="H41" s="6" t="s">
        <v>100</v>
      </c>
      <c r="I41" s="5"/>
    </row>
    <row r="42" ht="15.0" customHeight="1">
      <c r="A42" s="11" t="str">
        <f>Presupuesto!A18</f>
        <v/>
      </c>
      <c r="B42" s="16">
        <f t="shared" ref="B42:B56" si="6">F3</f>
        <v>0</v>
      </c>
      <c r="C42" s="97">
        <f t="shared" ref="C42:C56" si="7">C23</f>
        <v>0.3</v>
      </c>
      <c r="D42" s="16">
        <f t="shared" ref="D42:D56" si="8">B42*(1+C42)</f>
        <v>0</v>
      </c>
      <c r="E42" s="16">
        <f t="shared" ref="E42:E56" si="9">IF(B$40&gt;0,E23*B$40,0)</f>
        <v>0</v>
      </c>
      <c r="F42" s="16">
        <f t="shared" ref="F42:F56" si="10">IF(B$40&gt;0,F23*B$40,0)</f>
        <v>0</v>
      </c>
      <c r="G42" s="97">
        <f t="shared" ref="G42:G56" si="11">IF(AND(B42&gt;0,E42&gt;0),(E42-B42)/B42,0)</f>
        <v>0</v>
      </c>
      <c r="H42" s="16">
        <f t="shared" ref="H42:H56" si="12">IF(E42&gt;0,E42-B42,0)</f>
        <v>0</v>
      </c>
      <c r="I42" s="5"/>
    </row>
    <row r="43" ht="15.0" customHeight="1">
      <c r="A43" s="11" t="str">
        <f>Presupuesto!A19</f>
        <v/>
      </c>
      <c r="B43" s="16">
        <f t="shared" si="6"/>
        <v>0</v>
      </c>
      <c r="C43" s="97">
        <f t="shared" si="7"/>
        <v>0.3</v>
      </c>
      <c r="D43" s="16">
        <f t="shared" si="8"/>
        <v>0</v>
      </c>
      <c r="E43" s="16">
        <f t="shared" si="9"/>
        <v>0</v>
      </c>
      <c r="F43" s="16">
        <f t="shared" si="10"/>
        <v>0</v>
      </c>
      <c r="G43" s="97">
        <f t="shared" si="11"/>
        <v>0</v>
      </c>
      <c r="H43" s="16">
        <f t="shared" si="12"/>
        <v>0</v>
      </c>
      <c r="I43" s="5"/>
    </row>
    <row r="44" ht="15.0" customHeight="1">
      <c r="A44" s="11" t="str">
        <f>Presupuesto!A20</f>
        <v/>
      </c>
      <c r="B44" s="16">
        <f t="shared" si="6"/>
        <v>0</v>
      </c>
      <c r="C44" s="97">
        <f t="shared" si="7"/>
        <v>0.3</v>
      </c>
      <c r="D44" s="16">
        <f t="shared" si="8"/>
        <v>0</v>
      </c>
      <c r="E44" s="16">
        <f t="shared" si="9"/>
        <v>0</v>
      </c>
      <c r="F44" s="16">
        <f t="shared" si="10"/>
        <v>0</v>
      </c>
      <c r="G44" s="97">
        <f t="shared" si="11"/>
        <v>0</v>
      </c>
      <c r="H44" s="16">
        <f t="shared" si="12"/>
        <v>0</v>
      </c>
      <c r="I44" s="5"/>
    </row>
    <row r="45" ht="15.0" customHeight="1">
      <c r="A45" s="11" t="str">
        <f>Presupuesto!A21</f>
        <v/>
      </c>
      <c r="B45" s="16">
        <f t="shared" si="6"/>
        <v>0</v>
      </c>
      <c r="C45" s="97">
        <f t="shared" si="7"/>
        <v>0.3</v>
      </c>
      <c r="D45" s="16">
        <f t="shared" si="8"/>
        <v>0</v>
      </c>
      <c r="E45" s="16">
        <f t="shared" si="9"/>
        <v>0</v>
      </c>
      <c r="F45" s="16">
        <f t="shared" si="10"/>
        <v>0</v>
      </c>
      <c r="G45" s="97">
        <f t="shared" si="11"/>
        <v>0</v>
      </c>
      <c r="H45" s="16">
        <f t="shared" si="12"/>
        <v>0</v>
      </c>
      <c r="I45" s="5"/>
    </row>
    <row r="46" ht="15.0" customHeight="1">
      <c r="A46" s="11" t="str">
        <f>Presupuesto!A22</f>
        <v/>
      </c>
      <c r="B46" s="16">
        <f t="shared" si="6"/>
        <v>0</v>
      </c>
      <c r="C46" s="97">
        <f t="shared" si="7"/>
        <v>0.3</v>
      </c>
      <c r="D46" s="16">
        <f t="shared" si="8"/>
        <v>0</v>
      </c>
      <c r="E46" s="16">
        <f t="shared" si="9"/>
        <v>0</v>
      </c>
      <c r="F46" s="16">
        <f t="shared" si="10"/>
        <v>0</v>
      </c>
      <c r="G46" s="97">
        <f t="shared" si="11"/>
        <v>0</v>
      </c>
      <c r="H46" s="16">
        <f t="shared" si="12"/>
        <v>0</v>
      </c>
      <c r="I46" s="5"/>
    </row>
    <row r="47" ht="15.0" customHeight="1">
      <c r="A47" s="11" t="str">
        <f>Presupuesto!A23</f>
        <v/>
      </c>
      <c r="B47" s="16">
        <f t="shared" si="6"/>
        <v>0</v>
      </c>
      <c r="C47" s="97">
        <f t="shared" si="7"/>
        <v>0.3</v>
      </c>
      <c r="D47" s="16">
        <f t="shared" si="8"/>
        <v>0</v>
      </c>
      <c r="E47" s="16">
        <f t="shared" si="9"/>
        <v>0</v>
      </c>
      <c r="F47" s="16">
        <f t="shared" si="10"/>
        <v>0</v>
      </c>
      <c r="G47" s="97">
        <f t="shared" si="11"/>
        <v>0</v>
      </c>
      <c r="H47" s="16">
        <f t="shared" si="12"/>
        <v>0</v>
      </c>
      <c r="I47" s="5"/>
    </row>
    <row r="48" ht="15.0" customHeight="1">
      <c r="A48" s="11" t="str">
        <f>Presupuesto!A24</f>
        <v/>
      </c>
      <c r="B48" s="16">
        <f t="shared" si="6"/>
        <v>0</v>
      </c>
      <c r="C48" s="97">
        <f t="shared" si="7"/>
        <v>0.3</v>
      </c>
      <c r="D48" s="16">
        <f t="shared" si="8"/>
        <v>0</v>
      </c>
      <c r="E48" s="16">
        <f t="shared" si="9"/>
        <v>0</v>
      </c>
      <c r="F48" s="16">
        <f t="shared" si="10"/>
        <v>0</v>
      </c>
      <c r="G48" s="97">
        <f t="shared" si="11"/>
        <v>0</v>
      </c>
      <c r="H48" s="16">
        <f t="shared" si="12"/>
        <v>0</v>
      </c>
      <c r="I48" s="5"/>
    </row>
    <row r="49" ht="15.0" customHeight="1">
      <c r="A49" s="11" t="str">
        <f>Presupuesto!A25</f>
        <v/>
      </c>
      <c r="B49" s="16">
        <f t="shared" si="6"/>
        <v>0</v>
      </c>
      <c r="C49" s="97">
        <f t="shared" si="7"/>
        <v>0.3</v>
      </c>
      <c r="D49" s="16">
        <f t="shared" si="8"/>
        <v>0</v>
      </c>
      <c r="E49" s="16">
        <f t="shared" si="9"/>
        <v>0</v>
      </c>
      <c r="F49" s="16">
        <f t="shared" si="10"/>
        <v>0</v>
      </c>
      <c r="G49" s="97">
        <f t="shared" si="11"/>
        <v>0</v>
      </c>
      <c r="H49" s="16">
        <f t="shared" si="12"/>
        <v>0</v>
      </c>
      <c r="I49" s="5"/>
    </row>
    <row r="50" ht="15.0" customHeight="1">
      <c r="A50" s="11" t="str">
        <f>Presupuesto!A26</f>
        <v/>
      </c>
      <c r="B50" s="16">
        <f t="shared" si="6"/>
        <v>0</v>
      </c>
      <c r="C50" s="97">
        <f t="shared" si="7"/>
        <v>0.3</v>
      </c>
      <c r="D50" s="16">
        <f t="shared" si="8"/>
        <v>0</v>
      </c>
      <c r="E50" s="16">
        <f t="shared" si="9"/>
        <v>0</v>
      </c>
      <c r="F50" s="16">
        <f t="shared" si="10"/>
        <v>0</v>
      </c>
      <c r="G50" s="97">
        <f t="shared" si="11"/>
        <v>0</v>
      </c>
      <c r="H50" s="16">
        <f t="shared" si="12"/>
        <v>0</v>
      </c>
      <c r="I50" s="5"/>
    </row>
    <row r="51" ht="15.0" customHeight="1">
      <c r="A51" s="11" t="str">
        <f>Presupuesto!A27</f>
        <v/>
      </c>
      <c r="B51" s="16">
        <f t="shared" si="6"/>
        <v>0</v>
      </c>
      <c r="C51" s="97">
        <f t="shared" si="7"/>
        <v>0.3</v>
      </c>
      <c r="D51" s="16">
        <f t="shared" si="8"/>
        <v>0</v>
      </c>
      <c r="E51" s="16">
        <f t="shared" si="9"/>
        <v>0</v>
      </c>
      <c r="F51" s="16">
        <f t="shared" si="10"/>
        <v>0</v>
      </c>
      <c r="G51" s="97">
        <f t="shared" si="11"/>
        <v>0</v>
      </c>
      <c r="H51" s="16">
        <f t="shared" si="12"/>
        <v>0</v>
      </c>
      <c r="I51" s="5"/>
    </row>
    <row r="52" ht="15.0" customHeight="1">
      <c r="A52" s="11" t="str">
        <f>Presupuesto!A28</f>
        <v/>
      </c>
      <c r="B52" s="16">
        <f t="shared" si="6"/>
        <v>0</v>
      </c>
      <c r="C52" s="97">
        <f t="shared" si="7"/>
        <v>0.3</v>
      </c>
      <c r="D52" s="16">
        <f t="shared" si="8"/>
        <v>0</v>
      </c>
      <c r="E52" s="16">
        <f t="shared" si="9"/>
        <v>0</v>
      </c>
      <c r="F52" s="16">
        <f t="shared" si="10"/>
        <v>0</v>
      </c>
      <c r="G52" s="97">
        <f t="shared" si="11"/>
        <v>0</v>
      </c>
      <c r="H52" s="16">
        <f t="shared" si="12"/>
        <v>0</v>
      </c>
      <c r="I52" s="5"/>
    </row>
    <row r="53" ht="15.0" customHeight="1">
      <c r="A53" s="11" t="str">
        <f>Presupuesto!A29</f>
        <v/>
      </c>
      <c r="B53" s="16">
        <f t="shared" si="6"/>
        <v>0</v>
      </c>
      <c r="C53" s="97">
        <f t="shared" si="7"/>
        <v>0.3</v>
      </c>
      <c r="D53" s="16">
        <f t="shared" si="8"/>
        <v>0</v>
      </c>
      <c r="E53" s="16">
        <f t="shared" si="9"/>
        <v>0</v>
      </c>
      <c r="F53" s="16">
        <f t="shared" si="10"/>
        <v>0</v>
      </c>
      <c r="G53" s="97">
        <f t="shared" si="11"/>
        <v>0</v>
      </c>
      <c r="H53" s="16">
        <f t="shared" si="12"/>
        <v>0</v>
      </c>
      <c r="I53" s="5"/>
    </row>
    <row r="54" ht="15.0" customHeight="1">
      <c r="A54" s="11" t="str">
        <f>Presupuesto!A30</f>
        <v/>
      </c>
      <c r="B54" s="16">
        <f t="shared" si="6"/>
        <v>0</v>
      </c>
      <c r="C54" s="97">
        <f t="shared" si="7"/>
        <v>0.3</v>
      </c>
      <c r="D54" s="16">
        <f t="shared" si="8"/>
        <v>0</v>
      </c>
      <c r="E54" s="16">
        <f t="shared" si="9"/>
        <v>0</v>
      </c>
      <c r="F54" s="16">
        <f t="shared" si="10"/>
        <v>0</v>
      </c>
      <c r="G54" s="97">
        <f t="shared" si="11"/>
        <v>0</v>
      </c>
      <c r="H54" s="16">
        <f t="shared" si="12"/>
        <v>0</v>
      </c>
      <c r="I54" s="5"/>
    </row>
    <row r="55" ht="15.0" customHeight="1">
      <c r="A55" s="11" t="str">
        <f>Presupuesto!A31</f>
        <v/>
      </c>
      <c r="B55" s="16">
        <f t="shared" si="6"/>
        <v>0</v>
      </c>
      <c r="C55" s="97">
        <f t="shared" si="7"/>
        <v>0.3</v>
      </c>
      <c r="D55" s="16">
        <f t="shared" si="8"/>
        <v>0</v>
      </c>
      <c r="E55" s="16">
        <f t="shared" si="9"/>
        <v>0</v>
      </c>
      <c r="F55" s="16">
        <f t="shared" si="10"/>
        <v>0</v>
      </c>
      <c r="G55" s="97">
        <f t="shared" si="11"/>
        <v>0</v>
      </c>
      <c r="H55" s="16">
        <f t="shared" si="12"/>
        <v>0</v>
      </c>
      <c r="I55" s="5"/>
    </row>
    <row r="56" ht="15.0" customHeight="1">
      <c r="A56" s="11" t="str">
        <f>Presupuesto!A32</f>
        <v/>
      </c>
      <c r="B56" s="16">
        <f t="shared" si="6"/>
        <v>0</v>
      </c>
      <c r="C56" s="97">
        <f t="shared" si="7"/>
        <v>0.3</v>
      </c>
      <c r="D56" s="16">
        <f t="shared" si="8"/>
        <v>0</v>
      </c>
      <c r="E56" s="16">
        <f t="shared" si="9"/>
        <v>0</v>
      </c>
      <c r="F56" s="16">
        <f t="shared" si="10"/>
        <v>0</v>
      </c>
      <c r="G56" s="97">
        <f t="shared" si="11"/>
        <v>0</v>
      </c>
      <c r="H56" s="16">
        <f t="shared" si="12"/>
        <v>0</v>
      </c>
      <c r="I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</row>
    <row r="58" ht="15.0" customHeight="1">
      <c r="A58" s="2" t="s">
        <v>119</v>
      </c>
      <c r="B58" s="4"/>
      <c r="C58" s="4"/>
      <c r="D58" s="4"/>
      <c r="E58" s="4"/>
      <c r="F58" s="4"/>
      <c r="G58" s="4"/>
      <c r="H58" s="4"/>
      <c r="I58" s="5"/>
    </row>
    <row r="59" ht="15.0" customHeight="1">
      <c r="A59" s="112" t="s">
        <v>78</v>
      </c>
      <c r="B59" s="112" t="s">
        <v>19</v>
      </c>
      <c r="C59" s="112" t="s">
        <v>20</v>
      </c>
      <c r="D59" s="5"/>
      <c r="E59" s="5"/>
      <c r="F59" s="5"/>
      <c r="G59" s="5"/>
      <c r="H59" s="5"/>
      <c r="I59" s="5"/>
    </row>
    <row r="60" ht="15.0" customHeight="1">
      <c r="A60" s="15" t="s">
        <v>120</v>
      </c>
      <c r="B60" s="12">
        <f>Presupuesto!D80</f>
        <v>0</v>
      </c>
      <c r="C60" s="16">
        <f>B60*Presupuesto!B$37</f>
        <v>0</v>
      </c>
      <c r="D60" s="5"/>
      <c r="E60" s="5"/>
      <c r="F60" s="5"/>
      <c r="G60" s="5"/>
      <c r="H60" s="5"/>
      <c r="I60" s="5"/>
    </row>
    <row r="61" ht="15.0" customHeight="1">
      <c r="A61" s="15" t="s">
        <v>121</v>
      </c>
      <c r="B61" s="12">
        <f>Presupuesto!F80</f>
        <v>0</v>
      </c>
      <c r="C61" s="16">
        <f>B61*Presupuesto!B$37</f>
        <v>0</v>
      </c>
      <c r="D61" s="5"/>
      <c r="E61" s="5"/>
      <c r="F61" s="5"/>
      <c r="G61" s="5"/>
      <c r="H61" s="5"/>
      <c r="I61" s="5"/>
    </row>
    <row r="62" ht="15.0" customHeight="1">
      <c r="A62" s="15" t="s">
        <v>123</v>
      </c>
      <c r="B62" s="12">
        <f>Presupuesto!C123</f>
        <v>0</v>
      </c>
      <c r="C62" s="16">
        <f>B62*Presupuesto!B$37</f>
        <v>0</v>
      </c>
      <c r="D62" s="5"/>
      <c r="E62" s="5"/>
      <c r="F62" s="5"/>
      <c r="G62" s="5"/>
      <c r="H62" s="5"/>
      <c r="I62" s="5"/>
    </row>
    <row r="63" ht="15.0" customHeight="1">
      <c r="A63" s="15" t="s">
        <v>124</v>
      </c>
      <c r="B63" s="12">
        <f>Presupuesto!H80</f>
        <v>0</v>
      </c>
      <c r="C63" s="16">
        <f>B63*Presupuesto!B$37</f>
        <v>0</v>
      </c>
      <c r="D63" s="5"/>
      <c r="E63" s="5"/>
      <c r="F63" s="5"/>
      <c r="G63" s="5"/>
      <c r="H63" s="5"/>
      <c r="I63" s="5"/>
    </row>
    <row r="64" ht="15.0" customHeight="1">
      <c r="A64" s="15" t="s">
        <v>125</v>
      </c>
      <c r="B64" s="12">
        <f>Presupuesto!J80</f>
        <v>0</v>
      </c>
      <c r="C64" s="16">
        <f>B64*Presupuesto!B$37</f>
        <v>0</v>
      </c>
      <c r="D64" s="5"/>
      <c r="E64" s="5"/>
      <c r="F64" s="5"/>
      <c r="G64" s="5"/>
      <c r="H64" s="5"/>
      <c r="I64" s="5"/>
    </row>
    <row r="65" ht="15.0" customHeight="1">
      <c r="A65" s="80" t="s">
        <v>126</v>
      </c>
      <c r="B65" s="89">
        <f t="shared" ref="B65:C65" si="13">SUM(B60:B64)</f>
        <v>0</v>
      </c>
      <c r="C65" s="120">
        <f t="shared" si="13"/>
        <v>0</v>
      </c>
      <c r="D65" s="84"/>
      <c r="E65" s="5"/>
      <c r="F65" s="5"/>
      <c r="G65" s="5"/>
      <c r="H65" s="5"/>
      <c r="I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</row>
    <row r="67" ht="15.0" customHeight="1">
      <c r="A67" s="2" t="s">
        <v>127</v>
      </c>
      <c r="B67" s="4"/>
      <c r="C67" s="4"/>
      <c r="D67" s="4"/>
      <c r="E67" s="4"/>
      <c r="F67" s="4"/>
      <c r="G67" s="4"/>
      <c r="H67" s="4"/>
      <c r="I67" s="5"/>
    </row>
    <row r="68" ht="15.0" customHeight="1">
      <c r="A68" s="5"/>
      <c r="B68" s="112" t="s">
        <v>19</v>
      </c>
      <c r="C68" s="112" t="s">
        <v>20</v>
      </c>
      <c r="D68" s="5"/>
      <c r="E68" s="5"/>
      <c r="F68" s="5"/>
      <c r="G68" s="5"/>
      <c r="H68" s="5"/>
      <c r="I68" s="5"/>
    </row>
    <row r="69" ht="15.0" customHeight="1">
      <c r="A69" s="15" t="s">
        <v>128</v>
      </c>
      <c r="B69" s="12">
        <f>Presupuesto!B126</f>
        <v>10</v>
      </c>
      <c r="C69" s="16">
        <f>Presupuesto!C126</f>
        <v>15100</v>
      </c>
      <c r="D69" s="5"/>
      <c r="E69" s="5"/>
      <c r="F69" s="5"/>
      <c r="G69" s="5"/>
      <c r="H69" s="5"/>
      <c r="I69" s="5"/>
    </row>
    <row r="70" ht="15.0" customHeight="1">
      <c r="A70" s="15" t="s">
        <v>129</v>
      </c>
      <c r="B70" s="12">
        <f>E23*Presupuesto!D18+E24*Presupuesto!D19+E25*Presupuesto!D20+E26*Presupuesto!D21+E27*Presupuesto!D22+E28*Presupuesto!D23+E29*Presupuesto!D24+E30*Presupuesto!D25+E31*Presupuesto!D26+E32*Presupuesto!D27+E33*Presupuesto!D28+E34*Presupuesto!D29+E35*Presupuesto!D30+E36*Presupuesto!D31+E37*Presupuesto!D32</f>
        <v>0</v>
      </c>
      <c r="C70" s="16">
        <f>B70*Presupuesto!B$86</f>
        <v>0</v>
      </c>
      <c r="D70" s="5"/>
      <c r="E70" s="5"/>
      <c r="F70" s="5"/>
      <c r="G70" s="5"/>
      <c r="H70" s="5"/>
      <c r="I70" s="5"/>
    </row>
    <row r="71" ht="15.0" customHeight="1">
      <c r="A71" s="15" t="s">
        <v>130</v>
      </c>
      <c r="B71" s="12">
        <f t="shared" ref="B71:C71" si="14">IF(B70&gt;0,B70-B69,0)</f>
        <v>0</v>
      </c>
      <c r="C71" s="16">
        <f t="shared" si="14"/>
        <v>0</v>
      </c>
      <c r="D71" s="5"/>
      <c r="E71" s="5"/>
      <c r="F71" s="5"/>
      <c r="G71" s="5"/>
      <c r="H71" s="5"/>
      <c r="I71" s="5"/>
    </row>
    <row r="72" ht="15.0" customHeight="1">
      <c r="A72" s="15" t="s">
        <v>131</v>
      </c>
      <c r="B72" s="12">
        <f>Presupuesto!D80+Presupuesto!F80+Presupuesto!C123</f>
        <v>0</v>
      </c>
      <c r="C72" s="16">
        <f>B72*Presupuesto!B$37</f>
        <v>0</v>
      </c>
      <c r="D72" s="5"/>
      <c r="E72" s="5"/>
      <c r="F72" s="5"/>
      <c r="G72" s="5"/>
      <c r="H72" s="5"/>
      <c r="I72" s="5"/>
    </row>
    <row r="73" ht="15.0" customHeight="1">
      <c r="A73" s="15" t="s">
        <v>132</v>
      </c>
      <c r="B73" s="12">
        <f>Presupuesto!H80+Presupuesto!J80</f>
        <v>0</v>
      </c>
      <c r="C73" s="16">
        <f>B73*Presupuesto!B$37</f>
        <v>0</v>
      </c>
      <c r="D73" s="5"/>
      <c r="E73" s="5"/>
      <c r="F73" s="5"/>
      <c r="G73" s="5"/>
      <c r="H73" s="5"/>
      <c r="I73" s="5"/>
    </row>
    <row r="74" ht="15.0" customHeight="1">
      <c r="A74" s="22" t="s">
        <v>133</v>
      </c>
      <c r="B74" s="122">
        <f t="shared" ref="B74:C74" si="15">IF(AND(B69&gt;0,B70&gt;0),B71/B69,0)</f>
        <v>0</v>
      </c>
      <c r="C74" s="122">
        <f t="shared" si="15"/>
        <v>0</v>
      </c>
      <c r="D74" s="5"/>
      <c r="E74" s="5"/>
      <c r="F74" s="5"/>
      <c r="G74" s="5"/>
      <c r="H74" s="5"/>
      <c r="I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</row>
    <row r="76" ht="15.0" customHeight="1">
      <c r="A76" s="2" t="s">
        <v>134</v>
      </c>
      <c r="B76" s="4"/>
      <c r="C76" s="4"/>
      <c r="D76" s="4"/>
      <c r="E76" s="4"/>
      <c r="F76" s="4"/>
      <c r="G76" s="4"/>
      <c r="H76" s="4"/>
      <c r="I76" s="5"/>
    </row>
    <row r="77" ht="15.0" customHeight="1">
      <c r="A77" s="6"/>
      <c r="B77" s="6" t="s">
        <v>135</v>
      </c>
      <c r="C77" s="6" t="s">
        <v>79</v>
      </c>
      <c r="D77" s="6" t="s">
        <v>136</v>
      </c>
      <c r="E77" s="6" t="s">
        <v>137</v>
      </c>
      <c r="F77" s="5"/>
      <c r="G77" s="5"/>
      <c r="H77" s="5"/>
      <c r="I77" s="5"/>
    </row>
    <row r="78" ht="15.0" customHeight="1">
      <c r="A78" s="15" t="s">
        <v>138</v>
      </c>
      <c r="B78" s="123">
        <v>0.0</v>
      </c>
      <c r="C78" s="124" t="s">
        <v>19</v>
      </c>
      <c r="D78" s="124"/>
      <c r="E78" s="24"/>
      <c r="F78" s="5"/>
      <c r="G78" s="5"/>
      <c r="H78" s="5"/>
      <c r="I78" s="5"/>
    </row>
    <row r="79" ht="15.0" customHeight="1">
      <c r="A79" s="15" t="s">
        <v>139</v>
      </c>
      <c r="B79" s="123">
        <v>0.0</v>
      </c>
      <c r="C79" s="124" t="s">
        <v>19</v>
      </c>
      <c r="D79" s="124"/>
      <c r="E79" s="24"/>
      <c r="F79" s="5"/>
      <c r="G79" s="5"/>
      <c r="H79" s="5"/>
      <c r="I79" s="5"/>
    </row>
    <row r="80" ht="15.0" customHeight="1">
      <c r="A80" s="15" t="s">
        <v>140</v>
      </c>
      <c r="B80" s="123">
        <v>0.0</v>
      </c>
      <c r="C80" s="124" t="s">
        <v>19</v>
      </c>
      <c r="D80" s="124"/>
      <c r="E80" s="24"/>
      <c r="F80" s="5"/>
      <c r="G80" s="5"/>
      <c r="H80" s="5"/>
      <c r="I80" s="5"/>
    </row>
    <row r="81" ht="15.0" customHeight="1">
      <c r="A81" s="15" t="s">
        <v>141</v>
      </c>
      <c r="B81" s="123">
        <v>0.0</v>
      </c>
      <c r="C81" s="124" t="s">
        <v>19</v>
      </c>
      <c r="D81" s="124"/>
      <c r="E81" s="24"/>
      <c r="F81" s="5"/>
      <c r="G81" s="5"/>
      <c r="H81" s="5"/>
      <c r="I81" s="5"/>
    </row>
    <row r="82" ht="15.0" customHeight="1">
      <c r="A82" s="15" t="s">
        <v>142</v>
      </c>
      <c r="B82" s="123">
        <v>0.0</v>
      </c>
      <c r="C82" s="124" t="s">
        <v>19</v>
      </c>
      <c r="D82" s="124"/>
      <c r="E82" s="24"/>
      <c r="F82" s="5"/>
      <c r="G82" s="5"/>
      <c r="H82" s="5"/>
      <c r="I82" s="5"/>
    </row>
    <row r="83" ht="15.0" customHeight="1">
      <c r="A83" s="80" t="s">
        <v>143</v>
      </c>
      <c r="B83" s="89">
        <f>IF(C78="USD",B78,IF(Presupuesto!B$86&gt;0,B78/Presupuesto!B$86,0))+IF(C79="USD",B79,IF(Presupuesto!B$86&gt;0,B79/Presupuesto!B$86,0))+IF(C80="USD",B80,IF(Presupuesto!B$86&gt;0,B80/Presupuesto!B$86,0))+IF(C81="USD",B81,IF(Presupuesto!B$86&gt;0,B81/Presupuesto!B$86,0))+IF(C82="USD",B82,IF(Presupuesto!B$86&gt;0,B82/Presupuesto!B$86,0))</f>
        <v>0</v>
      </c>
      <c r="C83" s="84"/>
      <c r="D83" s="84"/>
      <c r="E83" s="84"/>
      <c r="F83" s="84"/>
      <c r="G83" s="5"/>
      <c r="H83" s="5"/>
      <c r="I83" s="5"/>
    </row>
    <row r="84" ht="15.0" customHeight="1">
      <c r="A84" s="90" t="s">
        <v>144</v>
      </c>
      <c r="B84" s="93">
        <f>Presupuesto!B126</f>
        <v>10</v>
      </c>
      <c r="C84" s="5"/>
      <c r="D84" s="5"/>
      <c r="E84" s="5"/>
      <c r="F84" s="5"/>
      <c r="G84" s="5"/>
      <c r="H84" s="5"/>
      <c r="I84" s="5"/>
    </row>
    <row r="85" ht="15.0" customHeight="1">
      <c r="A85" s="125" t="s">
        <v>145</v>
      </c>
      <c r="B85" s="126">
        <f>B83-B84</f>
        <v>-10</v>
      </c>
      <c r="C85" s="90" t="s">
        <v>146</v>
      </c>
      <c r="D85" s="5"/>
      <c r="E85" s="5"/>
      <c r="F85" s="5"/>
      <c r="G85" s="5"/>
      <c r="H85" s="5"/>
      <c r="I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</row>
  </sheetData>
  <dataValidations>
    <dataValidation type="list" allowBlank="1" sqref="C78:C82">
      <formula1>"USD,ARS"</formula1>
    </dataValidation>
  </dataValidations>
  <printOptions/>
  <pageMargins bottom="1.0" footer="0.0" header="0.0" left="0.75" right="0.75" top="1.0"/>
  <pageSetup paperSize="9" orientation="portrait"/>
  <drawing r:id="rId1"/>
</worksheet>
</file>